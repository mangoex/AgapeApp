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utoviolentómetro" sheetId="1" state="visible" r:id="rId1"/>
    <sheet xmlns:r="http://schemas.openxmlformats.org/officeDocument/2006/relationships" name="📋 Plan de Sesiones" sheetId="2" state="visible" r:id="rId2"/>
    <sheet xmlns:r="http://schemas.openxmlformats.org/officeDocument/2006/relationships" name="👥 Seguimiento Participantes" sheetId="3" state="visible" r:id="rId3"/>
    <sheet xmlns:r="http://schemas.openxmlformats.org/officeDocument/2006/relationships" name="📈 Resumen y Gráfica" sheetId="4" state="visible" r:id="rId4"/>
    <sheet xmlns:r="http://schemas.openxmlformats.org/officeDocument/2006/relationships" name="📞 Recursos de Apoyo" sheetId="5" state="visible" r:id="rId5"/>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Georgia"/>
      <b val="1"/>
      <color rgb="FFFFFFFF"/>
      <sz val="18"/>
    </font>
    <font>
      <name val="Calibri"/>
      <i val="1"/>
      <color rgb="FFFFFFFF"/>
      <sz val="12"/>
    </font>
    <font>
      <name val="Calibri"/>
      <i val="1"/>
      <color rgb="FF2D1B4E"/>
      <sz val="10"/>
    </font>
    <font>
      <name val="Calibri"/>
      <b val="1"/>
      <color rgb="FF6B2D8B"/>
      <sz val="10"/>
    </font>
    <font>
      <name val="Calibri"/>
      <b val="1"/>
      <color rgb="FFFFFFFF"/>
      <sz val="10"/>
    </font>
    <font>
      <name val="Calibri"/>
      <color rgb="FF000000"/>
      <sz val="10"/>
    </font>
    <font>
      <name val="Calibri"/>
      <color rgb="FFCCCCCC"/>
      <sz val="12"/>
    </font>
    <font>
      <name val="Calibri"/>
      <b val="1"/>
      <color rgb="FF6B2D8B"/>
      <sz val="12"/>
    </font>
    <font>
      <name val="Calibri"/>
      <b val="1"/>
      <color rgb="FFFFFFFF"/>
      <sz val="12"/>
    </font>
    <font>
      <name val="Calibri"/>
      <b val="1"/>
      <color rgb="FFD4A82A"/>
      <sz val="14"/>
    </font>
    <font>
      <name val="Georgia"/>
      <b val="1"/>
      <color rgb="FFFFFFFF"/>
      <sz val="12"/>
    </font>
    <font>
      <name val="Calibri"/>
      <b val="1"/>
      <color rgb="FF6B2D8B"/>
      <sz val="11"/>
    </font>
    <font>
      <name val="Calibri"/>
      <b val="1"/>
      <color rgb="FF2AB89A"/>
      <sz val="10"/>
    </font>
    <font>
      <name val="Calibri"/>
      <i val="1"/>
      <color rgb="FF1A1A1A"/>
      <sz val="9"/>
    </font>
    <font>
      <name val="Calibri"/>
      <b val="1"/>
      <color rgb="FFD4A82A"/>
      <sz val="10"/>
    </font>
    <font>
      <name val="Calibri"/>
      <b val="1"/>
      <color rgb="FFA0364B"/>
      <sz val="10"/>
    </font>
    <font>
      <name val="Calibri"/>
      <b val="1"/>
      <color rgb="FF8B0000"/>
      <sz val="10"/>
    </font>
    <font>
      <name val="Georgia"/>
      <b val="1"/>
      <color rgb="FFFFFFFF"/>
      <sz val="16"/>
    </font>
    <font>
      <name val="Calibri"/>
      <color rgb="FF6B2D8B"/>
      <sz val="10"/>
    </font>
    <font>
      <name val="Calibri"/>
      <color rgb="FF000000"/>
      <sz val="9"/>
    </font>
    <font>
      <name val="Georgia"/>
      <b val="1"/>
      <color rgb="FFFFFFFF"/>
      <sz val="14"/>
    </font>
    <font>
      <name val="Calibri"/>
      <b val="1"/>
      <color rgb="FFFFFFFF"/>
      <sz val="9"/>
    </font>
    <font>
      <name val="Calibri"/>
      <b val="1"/>
      <color rgb="FF000000"/>
      <sz val="10"/>
    </font>
    <font>
      <name val="Calibri"/>
      <b val="1"/>
      <color rgb="FFFFFFFF"/>
      <sz val="11"/>
    </font>
  </fonts>
  <fills count="17">
    <fill>
      <patternFill/>
    </fill>
    <fill>
      <patternFill patternType="gray125"/>
    </fill>
    <fill>
      <patternFill patternType="solid">
        <fgColor rgb="002D1B4E"/>
      </patternFill>
    </fill>
    <fill>
      <patternFill patternType="solid">
        <fgColor rgb="006B2D8B"/>
      </patternFill>
    </fill>
    <fill>
      <patternFill patternType="solid">
        <fgColor rgb="00F0EBF7"/>
      </patternFill>
    </fill>
    <fill>
      <patternFill patternType="solid">
        <fgColor rgb="002AB89A"/>
      </patternFill>
    </fill>
    <fill>
      <patternFill patternType="solid">
        <fgColor rgb="00D4A82A"/>
      </patternFill>
    </fill>
    <fill>
      <patternFill patternType="solid">
        <fgColor rgb="00E07020"/>
      </patternFill>
    </fill>
    <fill>
      <patternFill patternType="solid">
        <fgColor rgb="00A0364B"/>
      </patternFill>
    </fill>
    <fill>
      <patternFill patternType="solid">
        <fgColor rgb="00FFFFFF"/>
      </patternFill>
    </fill>
    <fill>
      <patternFill patternType="solid">
        <fgColor rgb="00E8F0FE"/>
      </patternFill>
    </fill>
    <fill>
      <patternFill patternType="solid">
        <fgColor rgb="00F9F4FF"/>
      </patternFill>
    </fill>
    <fill>
      <patternFill patternType="solid">
        <fgColor rgb="008B0000"/>
      </patternFill>
    </fill>
    <fill>
      <patternFill patternType="solid">
        <fgColor rgb="00E8F8F5"/>
      </patternFill>
    </fill>
    <fill>
      <patternFill patternType="solid">
        <fgColor rgb="00FEF9E7"/>
      </patternFill>
    </fill>
    <fill>
      <patternFill patternType="solid">
        <fgColor rgb="00FDF0F2"/>
      </patternFill>
    </fill>
    <fill>
      <patternFill patternType="solid">
        <fgColor rgb="00FFF0F0"/>
      </patternFill>
    </fill>
  </fills>
  <borders count="8">
    <border>
      <left/>
      <right/>
      <top/>
      <bottom/>
      <diagonal/>
    </border>
    <border>
      <bottom style="medium">
        <color rgb="FF6B2D8B"/>
      </bottom>
    </border>
    <border>
      <left style="medium">
        <color rgb="FFFFFFFF"/>
      </left>
      <right style="medium">
        <color rgb="FFFFFFFF"/>
      </right>
      <top style="medium">
        <color rgb="FFFFFFFF"/>
      </top>
      <bottom style="medium">
        <color rgb="FFFFFFFF"/>
      </bottom>
    </border>
    <border>
      <left style="medium">
        <color rgb="006B2D8B"/>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medium">
        <color rgb="FF6B2D8B"/>
      </left>
      <right style="medium">
        <color rgb="FF6B2D8B"/>
      </right>
      <top style="medium">
        <color rgb="FF6B2D8B"/>
      </top>
      <bottom style="medium">
        <color rgb="FF6B2D8B"/>
      </bottom>
    </border>
    <border>
      <left style="medium">
        <color rgb="FFFFD700"/>
      </left>
      <right style="medium">
        <color rgb="FFFFD700"/>
      </right>
      <top style="medium">
        <color rgb="FFFFD700"/>
      </top>
      <bottom style="medium">
        <color rgb="FFFFD700"/>
      </bottom>
    </border>
    <border>
      <left style="thin">
        <color rgb="FFFFFFFF"/>
      </left>
      <right style="thin">
        <color rgb="FFFFFFFF"/>
      </right>
      <top style="thin">
        <color rgb="FFFFFFFF"/>
      </top>
      <bottom style="thin">
        <color rgb="FFFFFFFF"/>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0" borderId="0" applyAlignment="1" pivotButton="0" quotePrefix="0" xfId="0">
      <alignment horizontal="right" vertical="center"/>
    </xf>
    <xf numFmtId="0" fontId="0" fillId="0" borderId="1" pivotButton="0" quotePrefix="0" xfId="0"/>
    <xf numFmtId="0" fontId="5" fillId="2"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0" applyAlignment="1" pivotButton="0" quotePrefix="0" xfId="0">
      <alignment horizontal="left" vertical="center"/>
    </xf>
    <xf numFmtId="0" fontId="6" fillId="9" borderId="3" applyAlignment="1" pivotButton="0" quotePrefix="0" xfId="0">
      <alignment horizontal="left" vertical="center" wrapText="1"/>
    </xf>
    <xf numFmtId="0" fontId="7" fillId="9" borderId="4" applyAlignment="1" pivotButton="0" quotePrefix="0" xfId="0">
      <alignment horizontal="center" vertical="center"/>
    </xf>
    <xf numFmtId="0" fontId="8" fillId="10" borderId="5" applyAlignment="1" pivotButton="0" quotePrefix="0" xfId="0">
      <alignment horizontal="center" vertical="center"/>
    </xf>
    <xf numFmtId="0" fontId="6" fillId="11" borderId="3" applyAlignment="1" pivotButton="0" quotePrefix="0" xfId="0">
      <alignment horizontal="left" vertical="center" wrapText="1"/>
    </xf>
    <xf numFmtId="0" fontId="7" fillId="11" borderId="4" applyAlignment="1" pivotButton="0" quotePrefix="0" xfId="0">
      <alignment horizontal="center" vertical="center"/>
    </xf>
    <xf numFmtId="0" fontId="5" fillId="8" borderId="0" applyAlignment="1" pivotButton="0" quotePrefix="0" xfId="0">
      <alignment horizontal="left" vertical="center"/>
    </xf>
    <xf numFmtId="0" fontId="5" fillId="12" borderId="0" applyAlignment="1" pivotButton="0" quotePrefix="0" xfId="0">
      <alignment horizontal="left" vertical="center"/>
    </xf>
    <xf numFmtId="0" fontId="9" fillId="2" borderId="0" applyAlignment="1" pivotButton="0" quotePrefix="0" xfId="0">
      <alignment horizontal="right" vertical="center"/>
    </xf>
    <xf numFmtId="0" fontId="10" fillId="2" borderId="6" applyAlignment="1" pivotButton="0" quotePrefix="0" xfId="0">
      <alignment horizontal="center" vertical="center"/>
    </xf>
    <xf numFmtId="0" fontId="11" fillId="2" borderId="0" applyAlignment="1" pivotButton="0" quotePrefix="0" xfId="0">
      <alignment horizontal="center" vertical="center"/>
    </xf>
    <xf numFmtId="0" fontId="12" fillId="0" borderId="0" applyAlignment="1" pivotButton="0" quotePrefix="0" xfId="0">
      <alignment horizontal="right" vertical="center"/>
    </xf>
    <xf numFmtId="0" fontId="12" fillId="0" borderId="0" applyAlignment="1" pivotButton="0" quotePrefix="0" xfId="0">
      <alignment horizontal="left" vertical="center"/>
    </xf>
    <xf numFmtId="0" fontId="5" fillId="5" borderId="7" applyAlignment="1" pivotButton="0" quotePrefix="0" xfId="0">
      <alignment horizontal="center" vertical="center"/>
    </xf>
    <xf numFmtId="0" fontId="13" fillId="13" borderId="4" applyAlignment="1" pivotButton="0" quotePrefix="0" xfId="0">
      <alignment horizontal="left" vertical="center"/>
    </xf>
    <xf numFmtId="0" fontId="14" fillId="13" borderId="4" applyAlignment="1" pivotButton="0" quotePrefix="0" xfId="0">
      <alignment horizontal="left" vertical="center" wrapText="1"/>
    </xf>
    <xf numFmtId="0" fontId="5" fillId="6" borderId="7" applyAlignment="1" pivotButton="0" quotePrefix="0" xfId="0">
      <alignment horizontal="center" vertical="center"/>
    </xf>
    <xf numFmtId="0" fontId="15" fillId="14" borderId="4" applyAlignment="1" pivotButton="0" quotePrefix="0" xfId="0">
      <alignment horizontal="left" vertical="center"/>
    </xf>
    <xf numFmtId="0" fontId="14" fillId="14" borderId="4" applyAlignment="1" pivotButton="0" quotePrefix="0" xfId="0">
      <alignment horizontal="left" vertical="center" wrapText="1"/>
    </xf>
    <xf numFmtId="0" fontId="5" fillId="8" borderId="7" applyAlignment="1" pivotButton="0" quotePrefix="0" xfId="0">
      <alignment horizontal="center" vertical="center"/>
    </xf>
    <xf numFmtId="0" fontId="16" fillId="15" borderId="4" applyAlignment="1" pivotButton="0" quotePrefix="0" xfId="0">
      <alignment horizontal="left" vertical="center"/>
    </xf>
    <xf numFmtId="0" fontId="14" fillId="15" borderId="4" applyAlignment="1" pivotButton="0" quotePrefix="0" xfId="0">
      <alignment horizontal="left" vertical="center" wrapText="1"/>
    </xf>
    <xf numFmtId="0" fontId="5" fillId="12" borderId="7" applyAlignment="1" pivotButton="0" quotePrefix="0" xfId="0">
      <alignment horizontal="center" vertical="center"/>
    </xf>
    <xf numFmtId="0" fontId="17" fillId="16" borderId="4" applyAlignment="1" pivotButton="0" quotePrefix="0" xfId="0">
      <alignment horizontal="left" vertical="center"/>
    </xf>
    <xf numFmtId="0" fontId="14" fillId="16" borderId="4" applyAlignment="1" pivotButton="0" quotePrefix="0" xfId="0">
      <alignment horizontal="left" vertical="center" wrapText="1"/>
    </xf>
    <xf numFmtId="0" fontId="18" fillId="2" borderId="0" applyAlignment="1" pivotButton="0" quotePrefix="0" xfId="0">
      <alignment horizontal="center" vertical="center"/>
    </xf>
    <xf numFmtId="0" fontId="19" fillId="4" borderId="0" applyAlignment="1" pivotButton="0" quotePrefix="0" xfId="0">
      <alignment horizontal="left" vertical="center"/>
    </xf>
    <xf numFmtId="0" fontId="9" fillId="8" borderId="4" applyAlignment="1" pivotButton="0" quotePrefix="0" xfId="0">
      <alignment horizontal="center" vertical="center"/>
    </xf>
    <xf numFmtId="0" fontId="20" fillId="9" borderId="4" applyAlignment="1" pivotButton="0" quotePrefix="0" xfId="0">
      <alignment horizontal="left" vertical="center" wrapText="1"/>
    </xf>
    <xf numFmtId="0" fontId="9" fillId="3" borderId="4" applyAlignment="1" pivotButton="0" quotePrefix="0" xfId="0">
      <alignment horizontal="center" vertical="center"/>
    </xf>
    <xf numFmtId="0" fontId="20" fillId="11" borderId="4" applyAlignment="1" pivotButton="0" quotePrefix="0" xfId="0">
      <alignment horizontal="left" vertical="center" wrapText="1"/>
    </xf>
    <xf numFmtId="0" fontId="9" fillId="7" borderId="4" applyAlignment="1" pivotButton="0" quotePrefix="0" xfId="0">
      <alignment horizontal="center" vertical="center"/>
    </xf>
    <xf numFmtId="0" fontId="9" fillId="12" borderId="4" applyAlignment="1" pivotButton="0" quotePrefix="0" xfId="0">
      <alignment horizontal="center" vertical="center"/>
    </xf>
    <xf numFmtId="0" fontId="9" fillId="6" borderId="4" applyAlignment="1" pivotButton="0" quotePrefix="0" xfId="0">
      <alignment horizontal="center" vertical="center"/>
    </xf>
    <xf numFmtId="0" fontId="9" fillId="5" borderId="4" applyAlignment="1" pivotButton="0" quotePrefix="0" xfId="0">
      <alignment horizontal="center" vertical="center"/>
    </xf>
    <xf numFmtId="0" fontId="21" fillId="2" borderId="0" applyAlignment="1" pivotButton="0" quotePrefix="0" xfId="0">
      <alignment horizontal="center" vertical="center"/>
    </xf>
    <xf numFmtId="0" fontId="22" fillId="2" borderId="2" applyAlignment="1" pivotButton="0" quotePrefix="0" xfId="0">
      <alignment horizontal="center" vertical="center" wrapText="1"/>
    </xf>
    <xf numFmtId="0" fontId="22" fillId="3" borderId="2" applyAlignment="1" pivotButton="0" quotePrefix="0" xfId="0">
      <alignment horizontal="center" vertical="center" wrapText="1"/>
    </xf>
    <xf numFmtId="0" fontId="22" fillId="8" borderId="2" applyAlignment="1" pivotButton="0" quotePrefix="0" xfId="0">
      <alignment horizontal="center" vertical="center" wrapText="1"/>
    </xf>
    <xf numFmtId="0" fontId="22" fillId="5" borderId="2" applyAlignment="1" pivotButton="0" quotePrefix="0" xfId="0">
      <alignment horizontal="center" vertical="center" wrapText="1"/>
    </xf>
    <xf numFmtId="0" fontId="22"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5" fillId="3" borderId="4" applyAlignment="1" pivotButton="0" quotePrefix="0" xfId="0">
      <alignment horizontal="center" vertical="center"/>
    </xf>
    <xf numFmtId="0" fontId="6" fillId="11" borderId="4" applyAlignment="1" pivotButton="0" quotePrefix="0" xfId="0">
      <alignment horizontal="center" vertical="center"/>
    </xf>
    <xf numFmtId="0" fontId="4" fillId="11" borderId="4" applyAlignment="1" pivotButton="0" quotePrefix="0" xfId="0">
      <alignment horizontal="center" vertical="center"/>
    </xf>
    <xf numFmtId="0" fontId="6" fillId="9" borderId="4" applyAlignment="1" pivotButton="0" quotePrefix="0" xfId="0">
      <alignment horizontal="center" vertical="center"/>
    </xf>
    <xf numFmtId="0" fontId="4" fillId="9" borderId="4" applyAlignment="1" pivotButton="0" quotePrefix="0" xfId="0">
      <alignment horizontal="center" vertical="center"/>
    </xf>
    <xf numFmtId="0" fontId="5" fillId="3" borderId="2" applyAlignment="1" pivotButton="0" quotePrefix="0" xfId="0">
      <alignment horizontal="center" vertical="center"/>
    </xf>
    <xf numFmtId="0" fontId="23" fillId="9" borderId="4" applyAlignment="1" pivotButton="0" quotePrefix="0" xfId="0">
      <alignment horizontal="left" vertical="center"/>
    </xf>
    <xf numFmtId="0" fontId="23" fillId="11" borderId="4" applyAlignment="1" pivotButton="0" quotePrefix="0" xfId="0">
      <alignment horizontal="left" vertical="center"/>
    </xf>
    <xf numFmtId="0" fontId="12" fillId="0" borderId="0" pivotButton="0" quotePrefix="0" xfId="0"/>
    <xf numFmtId="0" fontId="5" fillId="2" borderId="0" applyAlignment="1" pivotButton="0" quotePrefix="0" xfId="0">
      <alignment horizontal="center" vertical="center"/>
    </xf>
    <xf numFmtId="0" fontId="6" fillId="13" borderId="4" applyAlignment="1" pivotButton="0" quotePrefix="0" xfId="0">
      <alignment horizontal="center" vertical="center"/>
    </xf>
    <xf numFmtId="0" fontId="6" fillId="14" borderId="4" applyAlignment="1" pivotButton="0" quotePrefix="0" xfId="0">
      <alignment horizontal="center" vertical="center"/>
    </xf>
    <xf numFmtId="0" fontId="6" fillId="15" borderId="4" applyAlignment="1" pivotButton="0" quotePrefix="0" xfId="0">
      <alignment horizontal="center" vertical="center"/>
    </xf>
    <xf numFmtId="0" fontId="6" fillId="16" borderId="4" applyAlignment="1" pivotButton="0" quotePrefix="0" xfId="0">
      <alignment horizontal="center" vertical="center"/>
    </xf>
    <xf numFmtId="0" fontId="24" fillId="12" borderId="0" applyAlignment="1" pivotButton="0" quotePrefix="0" xfId="0">
      <alignment horizontal="left" vertical="center"/>
    </xf>
    <xf numFmtId="0" fontId="6" fillId="9" borderId="4" applyAlignment="1" pivotButton="0" quotePrefix="0" xfId="0">
      <alignment horizontal="left" vertical="center" wrapText="1"/>
    </xf>
    <xf numFmtId="0" fontId="6" fillId="4" borderId="4" applyAlignment="1" pivotButton="0" quotePrefix="0" xfId="0">
      <alignment horizontal="left" vertical="center" wrapText="1"/>
    </xf>
    <xf numFmtId="0" fontId="24" fillId="8" borderId="0" applyAlignment="1" pivotButton="0" quotePrefix="0" xfId="0">
      <alignment horizontal="left" vertical="center"/>
    </xf>
    <xf numFmtId="0" fontId="24" fillId="3" borderId="0" applyAlignment="1" pivotButton="0" quotePrefix="0" xfId="0">
      <alignment horizontal="left" vertical="center"/>
    </xf>
    <xf numFmtId="0" fontId="24"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Distribución por Zona — Inicio vs 30 Días</a:t>
            </a:r>
          </a:p>
        </rich>
      </tx>
    </title>
    <plotArea>
      <barChart>
        <barDir val="col"/>
        <grouping val="clustered"/>
        <ser>
          <idx val="0"/>
          <order val="0"/>
          <tx>
            <strRef>
              <f>'📈 Resumen y Gráfica'!B14</f>
            </strRef>
          </tx>
          <spPr>
            <a:solidFill xmlns:a="http://schemas.openxmlformats.org/drawingml/2006/main">
              <a:srgbClr val="2AB89A"/>
            </a:solidFill>
            <a:ln xmlns:a="http://schemas.openxmlformats.org/drawingml/2006/main">
              <a:prstDash val="solid"/>
            </a:ln>
          </spPr>
          <cat>
            <numRef>
              <f>'📈 Resumen y Gráfica'!$A$15:$A$18</f>
            </numRef>
          </cat>
          <val>
            <numRef>
              <f>'📈 Resumen y Gráfica'!$B$15:$B$18</f>
            </numRef>
          </val>
        </ser>
        <ser>
          <idx val="1"/>
          <order val="1"/>
          <tx>
            <strRef>
              <f>'📈 Resumen y Gráfica'!C14</f>
            </strRef>
          </tx>
          <spPr>
            <a:solidFill xmlns:a="http://schemas.openxmlformats.org/drawingml/2006/main">
              <a:srgbClr val="6B2D8B"/>
            </a:solidFill>
            <a:ln xmlns:a="http://schemas.openxmlformats.org/drawingml/2006/main">
              <a:prstDash val="solid"/>
            </a:ln>
          </spPr>
          <cat>
            <numRef>
              <f>'📈 Resumen y Gráfica'!$A$15:$A$18</f>
            </numRef>
          </cat>
          <val>
            <numRef>
              <f>'📈 Resumen y Gráfica'!$C$15:$C$18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Zona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Número de Participantes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20</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6B2D8B"/>
    <outlinePr summaryBelow="1" summaryRight="1"/>
    <pageSetUpPr/>
  </sheetPr>
  <dimension ref="A1:F43"/>
  <sheetViews>
    <sheetView workbookViewId="0">
      <pane ySplit="5" topLeftCell="A6"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4" customWidth="1" min="6" max="6"/>
  </cols>
  <sheetData>
    <row r="1" ht="38" customHeight="1">
      <c r="A1" s="1" t="inlineStr">
        <is>
          <t>CERO AMOR — AUTOVIOLENTÓMETRO ®</t>
        </is>
      </c>
    </row>
    <row r="2" ht="22" customHeight="1">
      <c r="A2" s="2" t="inlineStr">
        <is>
          <t>Auto evaluación diagnóstica — ¿Me ejerzo violencia?</t>
        </is>
      </c>
    </row>
    <row r="3" ht="32" customHeight="1">
      <c r="A3" s="3" t="inlineStr">
        <is>
          <t>Instrucciones: Selecciona 0 (NUNCA), 1 (POCO), 2 (MODERADO) o 3 (MUCHO) para cada afirmación. El sistema calculará tu puntaje y zona automáticamente.</t>
        </is>
      </c>
    </row>
    <row r="4" ht="22" customHeight="1">
      <c r="A4" s="4" t="inlineStr">
        <is>
          <t>Nombre:</t>
        </is>
      </c>
      <c r="B4" s="5" t="n"/>
      <c r="D4" s="4" t="inlineStr">
        <is>
          <t>Fecha:</t>
        </is>
      </c>
      <c r="E4" s="5" t="n"/>
    </row>
    <row r="5" ht="40" customHeight="1">
      <c r="A5" s="6" t="inlineStr">
        <is>
          <t>Manifestación de Autoviolencia</t>
        </is>
      </c>
      <c r="B5" s="7" t="inlineStr">
        <is>
          <t>0
NUNCA</t>
        </is>
      </c>
      <c r="C5" s="8" t="inlineStr">
        <is>
          <t>1
POCO</t>
        </is>
      </c>
      <c r="D5" s="9" t="inlineStr">
        <is>
          <t>2
MOD.</t>
        </is>
      </c>
      <c r="E5" s="10" t="inlineStr">
        <is>
          <t>3
MUCHO</t>
        </is>
      </c>
      <c r="F5" s="11" t="inlineStr">
        <is>
          <t>Mi
Puntaje</t>
        </is>
      </c>
    </row>
    <row r="6" ht="18" customHeight="1">
      <c r="A6" s="12" t="inlineStr">
        <is>
          <t xml:space="preserve">  ▶  ÁREA PSICOLÓGICA Y EMOCIONAL</t>
        </is>
      </c>
    </row>
    <row r="7" ht="22" customHeight="1">
      <c r="A7" s="13" t="inlineStr">
        <is>
          <t>Me hiero / me critico</t>
        </is>
      </c>
      <c r="B7" s="14" t="inlineStr">
        <is>
          <t>○</t>
        </is>
      </c>
      <c r="C7" s="14" t="inlineStr">
        <is>
          <t>○</t>
        </is>
      </c>
      <c r="D7" s="14" t="inlineStr">
        <is>
          <t>○</t>
        </is>
      </c>
      <c r="E7" s="14" t="inlineStr">
        <is>
          <t>○</t>
        </is>
      </c>
      <c r="F7" s="15" t="n"/>
    </row>
    <row r="8" ht="22" customHeight="1">
      <c r="A8" s="16" t="inlineStr">
        <is>
          <t>Me presiono / coacciono</t>
        </is>
      </c>
      <c r="B8" s="17" t="inlineStr">
        <is>
          <t>○</t>
        </is>
      </c>
      <c r="C8" s="17" t="inlineStr">
        <is>
          <t>○</t>
        </is>
      </c>
      <c r="D8" s="17" t="inlineStr">
        <is>
          <t>○</t>
        </is>
      </c>
      <c r="E8" s="17" t="inlineStr">
        <is>
          <t>○</t>
        </is>
      </c>
      <c r="F8" s="15" t="n"/>
    </row>
    <row r="9" ht="22" customHeight="1">
      <c r="A9" s="13" t="inlineStr">
        <is>
          <t>Me miento / engaño</t>
        </is>
      </c>
      <c r="B9" s="14" t="inlineStr">
        <is>
          <t>○</t>
        </is>
      </c>
      <c r="C9" s="14" t="inlineStr">
        <is>
          <t>○</t>
        </is>
      </c>
      <c r="D9" s="14" t="inlineStr">
        <is>
          <t>○</t>
        </is>
      </c>
      <c r="E9" s="14" t="inlineStr">
        <is>
          <t>○</t>
        </is>
      </c>
      <c r="F9" s="15" t="n"/>
    </row>
    <row r="10" ht="22" customHeight="1">
      <c r="A10" s="16" t="inlineStr">
        <is>
          <t>Me ignoro / lo callo</t>
        </is>
      </c>
      <c r="B10" s="17" t="inlineStr">
        <is>
          <t>○</t>
        </is>
      </c>
      <c r="C10" s="17" t="inlineStr">
        <is>
          <t>○</t>
        </is>
      </c>
      <c r="D10" s="17" t="inlineStr">
        <is>
          <t>○</t>
        </is>
      </c>
      <c r="E10" s="17" t="inlineStr">
        <is>
          <t>○</t>
        </is>
      </c>
      <c r="F10" s="15" t="n"/>
    </row>
    <row r="11" ht="22" customHeight="1">
      <c r="A11" s="13" t="inlineStr">
        <is>
          <t>Desconfiado/a / inseguro/a de mí mismo/a</t>
        </is>
      </c>
      <c r="B11" s="14" t="inlineStr">
        <is>
          <t>○</t>
        </is>
      </c>
      <c r="C11" s="14" t="inlineStr">
        <is>
          <t>○</t>
        </is>
      </c>
      <c r="D11" s="14" t="inlineStr">
        <is>
          <t>○</t>
        </is>
      </c>
      <c r="E11" s="14" t="inlineStr">
        <is>
          <t>○</t>
        </is>
      </c>
      <c r="F11" s="15" t="n"/>
    </row>
    <row r="12" ht="22" customHeight="1">
      <c r="A12" s="16" t="inlineStr">
        <is>
          <t>Me culpabilizo</t>
        </is>
      </c>
      <c r="B12" s="17" t="inlineStr">
        <is>
          <t>○</t>
        </is>
      </c>
      <c r="C12" s="17" t="inlineStr">
        <is>
          <t>○</t>
        </is>
      </c>
      <c r="D12" s="17" t="inlineStr">
        <is>
          <t>○</t>
        </is>
      </c>
      <c r="E12" s="17" t="inlineStr">
        <is>
          <t>○</t>
        </is>
      </c>
      <c r="F12" s="15" t="n"/>
    </row>
    <row r="13" ht="22" customHeight="1">
      <c r="A13" s="13" t="inlineStr">
        <is>
          <t>Me descalifico / desvalorizo</t>
        </is>
      </c>
      <c r="B13" s="14" t="inlineStr">
        <is>
          <t>○</t>
        </is>
      </c>
      <c r="C13" s="14" t="inlineStr">
        <is>
          <t>○</t>
        </is>
      </c>
      <c r="D13" s="14" t="inlineStr">
        <is>
          <t>○</t>
        </is>
      </c>
      <c r="E13" s="14" t="inlineStr">
        <is>
          <t>○</t>
        </is>
      </c>
      <c r="F13" s="15" t="n"/>
    </row>
    <row r="14" ht="22" customHeight="1">
      <c r="A14" s="16" t="inlineStr">
        <is>
          <t>Me ofendo / ridiculizo</t>
        </is>
      </c>
      <c r="B14" s="17" t="inlineStr">
        <is>
          <t>○</t>
        </is>
      </c>
      <c r="C14" s="17" t="inlineStr">
        <is>
          <t>○</t>
        </is>
      </c>
      <c r="D14" s="17" t="inlineStr">
        <is>
          <t>○</t>
        </is>
      </c>
      <c r="E14" s="17" t="inlineStr">
        <is>
          <t>○</t>
        </is>
      </c>
      <c r="F14" s="15" t="n"/>
    </row>
    <row r="15" ht="22" customHeight="1">
      <c r="A15" s="13" t="inlineStr">
        <is>
          <t>Me humillo ante otros</t>
        </is>
      </c>
      <c r="B15" s="14" t="inlineStr">
        <is>
          <t>○</t>
        </is>
      </c>
      <c r="C15" s="14" t="inlineStr">
        <is>
          <t>○</t>
        </is>
      </c>
      <c r="D15" s="14" t="inlineStr">
        <is>
          <t>○</t>
        </is>
      </c>
      <c r="E15" s="14" t="inlineStr">
        <is>
          <t>○</t>
        </is>
      </c>
      <c r="F15" s="15" t="n"/>
    </row>
    <row r="16" ht="22" customHeight="1">
      <c r="A16" s="16" t="inlineStr">
        <is>
          <t>Me intimido / asusto</t>
        </is>
      </c>
      <c r="B16" s="17" t="inlineStr">
        <is>
          <t>○</t>
        </is>
      </c>
      <c r="C16" s="17" t="inlineStr">
        <is>
          <t>○</t>
        </is>
      </c>
      <c r="D16" s="17" t="inlineStr">
        <is>
          <t>○</t>
        </is>
      </c>
      <c r="E16" s="17" t="inlineStr">
        <is>
          <t>○</t>
        </is>
      </c>
      <c r="F16" s="15" t="n"/>
    </row>
    <row r="17" ht="22" customHeight="1">
      <c r="A17" s="13" t="inlineStr">
        <is>
          <t>Me prohíbo / limito</t>
        </is>
      </c>
      <c r="B17" s="14" t="inlineStr">
        <is>
          <t>○</t>
        </is>
      </c>
      <c r="C17" s="14" t="inlineStr">
        <is>
          <t>○</t>
        </is>
      </c>
      <c r="D17" s="14" t="inlineStr">
        <is>
          <t>○</t>
        </is>
      </c>
      <c r="E17" s="14" t="inlineStr">
        <is>
          <t>○</t>
        </is>
      </c>
      <c r="F17" s="15" t="n"/>
    </row>
    <row r="18" ht="18" customHeight="1">
      <c r="A18" s="18" t="inlineStr">
        <is>
          <t xml:space="preserve">  ▶  ÁREA FÍSICA</t>
        </is>
      </c>
    </row>
    <row r="19" ht="22" customHeight="1">
      <c r="A19" s="13" t="inlineStr">
        <is>
          <t>Destruyo mis artículos personales</t>
        </is>
      </c>
      <c r="B19" s="14" t="inlineStr">
        <is>
          <t>○</t>
        </is>
      </c>
      <c r="C19" s="14" t="inlineStr">
        <is>
          <t>○</t>
        </is>
      </c>
      <c r="D19" s="14" t="inlineStr">
        <is>
          <t>○</t>
        </is>
      </c>
      <c r="E19" s="14" t="inlineStr">
        <is>
          <t>○</t>
        </is>
      </c>
      <c r="F19" s="15" t="n"/>
    </row>
    <row r="20" ht="22" customHeight="1">
      <c r="A20" s="16" t="inlineStr">
        <is>
          <t>No respeto mi cuerpo</t>
        </is>
      </c>
      <c r="B20" s="17" t="inlineStr">
        <is>
          <t>○</t>
        </is>
      </c>
      <c r="C20" s="17" t="inlineStr">
        <is>
          <t>○</t>
        </is>
      </c>
      <c r="D20" s="17" t="inlineStr">
        <is>
          <t>○</t>
        </is>
      </c>
      <c r="E20" s="17" t="inlineStr">
        <is>
          <t>○</t>
        </is>
      </c>
      <c r="F20" s="15" t="n"/>
    </row>
    <row r="21" ht="22" customHeight="1">
      <c r="A21" s="13" t="inlineStr">
        <is>
          <t>Me acaricio agresivamente</t>
        </is>
      </c>
      <c r="B21" s="14" t="inlineStr">
        <is>
          <t>○</t>
        </is>
      </c>
      <c r="C21" s="14" t="inlineStr">
        <is>
          <t>○</t>
        </is>
      </c>
      <c r="D21" s="14" t="inlineStr">
        <is>
          <t>○</t>
        </is>
      </c>
      <c r="E21" s="14" t="inlineStr">
        <is>
          <t>○</t>
        </is>
      </c>
      <c r="F21" s="15" t="n"/>
    </row>
    <row r="22" ht="22" customHeight="1">
      <c r="A22" s="16" t="inlineStr">
        <is>
          <t>Me golpeo 'jugando'</t>
        </is>
      </c>
      <c r="B22" s="17" t="inlineStr">
        <is>
          <t>○</t>
        </is>
      </c>
      <c r="C22" s="17" t="inlineStr">
        <is>
          <t>○</t>
        </is>
      </c>
      <c r="D22" s="17" t="inlineStr">
        <is>
          <t>○</t>
        </is>
      </c>
      <c r="E22" s="17" t="inlineStr">
        <is>
          <t>○</t>
        </is>
      </c>
      <c r="F22" s="15" t="n"/>
    </row>
    <row r="23" ht="22" customHeight="1">
      <c r="A23" s="13" t="inlineStr">
        <is>
          <t>Me araño / pellizco</t>
        </is>
      </c>
      <c r="B23" s="14" t="inlineStr">
        <is>
          <t>○</t>
        </is>
      </c>
      <c r="C23" s="14" t="inlineStr">
        <is>
          <t>○</t>
        </is>
      </c>
      <c r="D23" s="14" t="inlineStr">
        <is>
          <t>○</t>
        </is>
      </c>
      <c r="E23" s="14" t="inlineStr">
        <is>
          <t>○</t>
        </is>
      </c>
      <c r="F23" s="15" t="n"/>
    </row>
    <row r="24" ht="22" customHeight="1">
      <c r="A24" s="16" t="inlineStr">
        <is>
          <t>Me jaloneo / me arrojo</t>
        </is>
      </c>
      <c r="B24" s="17" t="inlineStr">
        <is>
          <t>○</t>
        </is>
      </c>
      <c r="C24" s="17" t="inlineStr">
        <is>
          <t>○</t>
        </is>
      </c>
      <c r="D24" s="17" t="inlineStr">
        <is>
          <t>○</t>
        </is>
      </c>
      <c r="E24" s="17" t="inlineStr">
        <is>
          <t>○</t>
        </is>
      </c>
      <c r="F24" s="15" t="n"/>
    </row>
    <row r="25" ht="22" customHeight="1">
      <c r="A25" s="13" t="inlineStr">
        <is>
          <t>Me cacheteo</t>
        </is>
      </c>
      <c r="B25" s="14" t="inlineStr">
        <is>
          <t>○</t>
        </is>
      </c>
      <c r="C25" s="14" t="inlineStr">
        <is>
          <t>○</t>
        </is>
      </c>
      <c r="D25" s="14" t="inlineStr">
        <is>
          <t>○</t>
        </is>
      </c>
      <c r="E25" s="14" t="inlineStr">
        <is>
          <t>○</t>
        </is>
      </c>
      <c r="F25" s="15" t="n"/>
    </row>
    <row r="26" ht="22" customHeight="1">
      <c r="A26" s="16" t="inlineStr">
        <is>
          <t>Me pateo</t>
        </is>
      </c>
      <c r="B26" s="17" t="inlineStr">
        <is>
          <t>○</t>
        </is>
      </c>
      <c r="C26" s="17" t="inlineStr">
        <is>
          <t>○</t>
        </is>
      </c>
      <c r="D26" s="17" t="inlineStr">
        <is>
          <t>○</t>
        </is>
      </c>
      <c r="E26" s="17" t="inlineStr">
        <is>
          <t>○</t>
        </is>
      </c>
      <c r="F26" s="15" t="n"/>
    </row>
    <row r="27" ht="22" customHeight="1">
      <c r="A27" s="13" t="inlineStr">
        <is>
          <t>Me aíslo / encierro</t>
        </is>
      </c>
      <c r="B27" s="14" t="inlineStr">
        <is>
          <t>○</t>
        </is>
      </c>
      <c r="C27" s="14" t="inlineStr">
        <is>
          <t>○</t>
        </is>
      </c>
      <c r="D27" s="14" t="inlineStr">
        <is>
          <t>○</t>
        </is>
      </c>
      <c r="E27" s="14" t="inlineStr">
        <is>
          <t>○</t>
        </is>
      </c>
      <c r="F27" s="15" t="n"/>
    </row>
    <row r="28" ht="22" customHeight="1">
      <c r="A28" s="16" t="inlineStr">
        <is>
          <t>Intento dañarme con objetos</t>
        </is>
      </c>
      <c r="B28" s="17" t="inlineStr">
        <is>
          <t>○</t>
        </is>
      </c>
      <c r="C28" s="17" t="inlineStr">
        <is>
          <t>○</t>
        </is>
      </c>
      <c r="D28" s="17" t="inlineStr">
        <is>
          <t>○</t>
        </is>
      </c>
      <c r="E28" s="17" t="inlineStr">
        <is>
          <t>○</t>
        </is>
      </c>
      <c r="F28" s="15" t="n"/>
    </row>
    <row r="29" ht="18" customHeight="1">
      <c r="A29" s="19" t="inlineStr">
        <is>
          <t xml:space="preserve">  ▶  ⚠️  ÁREA DE ALTO RIESGO — Si marcas algo aquí, habla HOY con un profesional.</t>
        </is>
      </c>
    </row>
    <row r="30" ht="22" customHeight="1">
      <c r="A30" s="13" t="inlineStr">
        <is>
          <t>Me amenazo con matarme</t>
        </is>
      </c>
      <c r="B30" s="14" t="inlineStr">
        <is>
          <t>○</t>
        </is>
      </c>
      <c r="C30" s="14" t="inlineStr">
        <is>
          <t>○</t>
        </is>
      </c>
      <c r="D30" s="14" t="inlineStr">
        <is>
          <t>○</t>
        </is>
      </c>
      <c r="E30" s="14" t="inlineStr">
        <is>
          <t>○</t>
        </is>
      </c>
      <c r="F30" s="15" t="n"/>
    </row>
    <row r="31" ht="22" customHeight="1">
      <c r="A31" s="16" t="inlineStr">
        <is>
          <t>Me forzó a una relación sexual no deseada</t>
        </is>
      </c>
      <c r="B31" s="17" t="inlineStr">
        <is>
          <t>○</t>
        </is>
      </c>
      <c r="C31" s="17" t="inlineStr">
        <is>
          <t>○</t>
        </is>
      </c>
      <c r="D31" s="17" t="inlineStr">
        <is>
          <t>○</t>
        </is>
      </c>
      <c r="E31" s="17" t="inlineStr">
        <is>
          <t>○</t>
        </is>
      </c>
      <c r="F31" s="15" t="n"/>
    </row>
    <row r="32" ht="22" customHeight="1">
      <c r="A32" s="13" t="inlineStr">
        <is>
          <t>Sumiso/a sexual (acepto lo que no quiero)</t>
        </is>
      </c>
      <c r="B32" s="14" t="inlineStr">
        <is>
          <t>○</t>
        </is>
      </c>
      <c r="C32" s="14" t="inlineStr">
        <is>
          <t>○</t>
        </is>
      </c>
      <c r="D32" s="14" t="inlineStr">
        <is>
          <t>○</t>
        </is>
      </c>
      <c r="E32" s="14" t="inlineStr">
        <is>
          <t>○</t>
        </is>
      </c>
      <c r="F32" s="15" t="n"/>
    </row>
    <row r="33" ht="22" customHeight="1">
      <c r="A33" s="16" t="inlineStr">
        <is>
          <t>Me auto agredo sexualmente</t>
        </is>
      </c>
      <c r="B33" s="17" t="inlineStr">
        <is>
          <t>○</t>
        </is>
      </c>
      <c r="C33" s="17" t="inlineStr">
        <is>
          <t>○</t>
        </is>
      </c>
      <c r="D33" s="17" t="inlineStr">
        <is>
          <t>○</t>
        </is>
      </c>
      <c r="E33" s="17" t="inlineStr">
        <is>
          <t>○</t>
        </is>
      </c>
      <c r="F33" s="15" t="n"/>
    </row>
    <row r="34" ht="22" customHeight="1">
      <c r="A34" s="13" t="inlineStr">
        <is>
          <t>Me corto (cutting)</t>
        </is>
      </c>
      <c r="B34" s="14" t="inlineStr">
        <is>
          <t>○</t>
        </is>
      </c>
      <c r="C34" s="14" t="inlineStr">
        <is>
          <t>○</t>
        </is>
      </c>
      <c r="D34" s="14" t="inlineStr">
        <is>
          <t>○</t>
        </is>
      </c>
      <c r="E34" s="14" t="inlineStr">
        <is>
          <t>○</t>
        </is>
      </c>
      <c r="F34" s="15" t="n"/>
    </row>
    <row r="35" ht="22" customHeight="1">
      <c r="A35" s="16" t="inlineStr">
        <is>
          <t>Me mutilo</t>
        </is>
      </c>
      <c r="B35" s="17" t="inlineStr">
        <is>
          <t>○</t>
        </is>
      </c>
      <c r="C35" s="17" t="inlineStr">
        <is>
          <t>○</t>
        </is>
      </c>
      <c r="D35" s="17" t="inlineStr">
        <is>
          <t>○</t>
        </is>
      </c>
      <c r="E35" s="17" t="inlineStr">
        <is>
          <t>○</t>
        </is>
      </c>
      <c r="F35" s="15" t="n"/>
    </row>
    <row r="36" ht="22" customHeight="1">
      <c r="A36" s="13" t="inlineStr">
        <is>
          <t>Me suicido o lo intento</t>
        </is>
      </c>
      <c r="B36" s="14" t="inlineStr">
        <is>
          <t>○</t>
        </is>
      </c>
      <c r="C36" s="14" t="inlineStr">
        <is>
          <t>○</t>
        </is>
      </c>
      <c r="D36" s="14" t="inlineStr">
        <is>
          <t>○</t>
        </is>
      </c>
      <c r="E36" s="14" t="inlineStr">
        <is>
          <t>○</t>
        </is>
      </c>
      <c r="F36" s="15" t="n"/>
    </row>
    <row r="37" ht="26" customHeight="1">
      <c r="A37" s="20" t="inlineStr">
        <is>
          <t>PUNTAJE TOTAL</t>
        </is>
      </c>
      <c r="F37" s="21">
        <f>SUM(F7,F8,F9,F10,F11,F12,F13,F14,F15,F16,F17,F19,F20,F21,F22,F23,F24,F25,F26,F27,F28,F30,F31,F32,F33,F34,F35,F36)</f>
        <v/>
      </c>
    </row>
    <row r="38" ht="22" customHeight="1">
      <c r="A38" s="22" t="inlineStr">
        <is>
          <t>INTERPRETACIÓN DE TU RESULTADO</t>
        </is>
      </c>
    </row>
    <row r="39" ht="22" customHeight="1">
      <c r="A39" s="23" t="inlineStr">
        <is>
          <t>Tu Zona:</t>
        </is>
      </c>
      <c r="D39" s="24">
        <f>IF(F37&lt;=10,"🌱 ZONA VERDE — ¡Date cuenta y modera!",IF(F37&lt;=25,"⚠️ ZONA AMARILLA — ¡Reflexiona y reacciona!",IF(F37&lt;=40,"🆘 ZONA ROJA — ¡No te autodestruyas!","🚨 ZONA CRÍTICA — ¡Necesitas ayuda profesional YA!")))</f>
        <v/>
      </c>
    </row>
    <row r="40" ht="20" customHeight="1">
      <c r="A40" s="25" t="inlineStr">
        <is>
          <t>0 – 10 pts</t>
        </is>
      </c>
      <c r="B40" s="26" t="inlineStr">
        <is>
          <t>🌱  ZONA VERDE</t>
        </is>
      </c>
      <c r="C40" s="27" t="inlineStr">
        <is>
          <t>¡Date cuenta y modera! Formas leves. Prevención ideal.</t>
        </is>
      </c>
    </row>
    <row r="41" ht="20" customHeight="1">
      <c r="A41" s="28" t="inlineStr">
        <is>
          <t>11 – 25 pts</t>
        </is>
      </c>
      <c r="B41" s="29" t="inlineStr">
        <is>
          <t>⚠️  ZONA AMARILLA</t>
        </is>
      </c>
      <c r="C41" s="30" t="inlineStr">
        <is>
          <t>¡Reflexiona y reacciona! Autoviolencia moderada. Busca herramientas.</t>
        </is>
      </c>
    </row>
    <row r="42" ht="20" customHeight="1">
      <c r="A42" s="31" t="inlineStr">
        <is>
          <t>26 – 40 pts</t>
        </is>
      </c>
      <c r="B42" s="32" t="inlineStr">
        <is>
          <t>🆘  ZONA ROJA</t>
        </is>
      </c>
      <c r="C42" s="33" t="inlineStr">
        <is>
          <t>¡No te autodestruyas! Autoviolencia intensa. Apoyo profesional urgente.</t>
        </is>
      </c>
    </row>
    <row r="43" ht="20" customHeight="1">
      <c r="A43" s="34" t="inlineStr">
        <is>
          <t>41+ pts</t>
        </is>
      </c>
      <c r="B43" s="35" t="inlineStr">
        <is>
          <t>🚨  ZONA CRÍTICA</t>
        </is>
      </c>
      <c r="C43" s="36" t="inlineStr">
        <is>
          <t>¡Necesitas ayuda profesional YA! Llama a una línea de crisis hoy.</t>
        </is>
      </c>
    </row>
  </sheetData>
  <mergeCells count="16">
    <mergeCell ref="A38:F38"/>
    <mergeCell ref="A2:F2"/>
    <mergeCell ref="E4:F4"/>
    <mergeCell ref="C40:F40"/>
    <mergeCell ref="C41:F41"/>
    <mergeCell ref="A1:F1"/>
    <mergeCell ref="C43:F43"/>
    <mergeCell ref="A29:F29"/>
    <mergeCell ref="A6:F6"/>
    <mergeCell ref="A37:E37"/>
    <mergeCell ref="A18:F18"/>
    <mergeCell ref="A39:C39"/>
    <mergeCell ref="A3:F3"/>
    <mergeCell ref="C42:F42"/>
    <mergeCell ref="D39:F39"/>
    <mergeCell ref="B4:C4"/>
  </mergeCells>
  <dataValidations count="28">
    <dataValidation sqref="F7" showDropDown="0" showInputMessage="0" showErrorMessage="0" allowBlank="1" errorTitle="Valor inválido" error="Elige 0, 1, 2 o 3" promptTitle="Selecciona tu puntaje" prompt="0=NUNCA  1=POCO  2=MODERADO  3=MUCHO" type="list">
      <formula1>"0,1,2,3"</formula1>
    </dataValidation>
    <dataValidation sqref="F8" showDropDown="0" showInputMessage="0" showErrorMessage="0" allowBlank="1" errorTitle="Valor inválido" error="Elige 0, 1, 2 o 3" promptTitle="Selecciona tu puntaje" prompt="0=NUNCA  1=POCO  2=MODERADO  3=MUCHO" type="list">
      <formula1>"0,1,2,3"</formula1>
    </dataValidation>
    <dataValidation sqref="F9" showDropDown="0" showInputMessage="0" showErrorMessage="0" allowBlank="1" errorTitle="Valor inválido" error="Elige 0, 1, 2 o 3" promptTitle="Selecciona tu puntaje" prompt="0=NUNCA  1=POCO  2=MODERADO  3=MUCHO" type="list">
      <formula1>"0,1,2,3"</formula1>
    </dataValidation>
    <dataValidation sqref="F10" showDropDown="0" showInputMessage="0" showErrorMessage="0" allowBlank="1" errorTitle="Valor inválido" error="Elige 0, 1, 2 o 3" promptTitle="Selecciona tu puntaje" prompt="0=NUNCA  1=POCO  2=MODERADO  3=MUCHO" type="list">
      <formula1>"0,1,2,3"</formula1>
    </dataValidation>
    <dataValidation sqref="F11" showDropDown="0" showInputMessage="0" showErrorMessage="0" allowBlank="1" errorTitle="Valor inválido" error="Elige 0, 1, 2 o 3" promptTitle="Selecciona tu puntaje" prompt="0=NUNCA  1=POCO  2=MODERADO  3=MUCHO" type="list">
      <formula1>"0,1,2,3"</formula1>
    </dataValidation>
    <dataValidation sqref="F12" showDropDown="0" showInputMessage="0" showErrorMessage="0" allowBlank="1" errorTitle="Valor inválido" error="Elige 0, 1, 2 o 3" promptTitle="Selecciona tu puntaje" prompt="0=NUNCA  1=POCO  2=MODERADO  3=MUCHO" type="list">
      <formula1>"0,1,2,3"</formula1>
    </dataValidation>
    <dataValidation sqref="F13" showDropDown="0" showInputMessage="0" showErrorMessage="0" allowBlank="1" errorTitle="Valor inválido" error="Elige 0, 1, 2 o 3" promptTitle="Selecciona tu puntaje" prompt="0=NUNCA  1=POCO  2=MODERADO  3=MUCHO" type="list">
      <formula1>"0,1,2,3"</formula1>
    </dataValidation>
    <dataValidation sqref="F14" showDropDown="0" showInputMessage="0" showErrorMessage="0" allowBlank="1" errorTitle="Valor inválido" error="Elige 0, 1, 2 o 3" promptTitle="Selecciona tu puntaje" prompt="0=NUNCA  1=POCO  2=MODERADO  3=MUCHO" type="list">
      <formula1>"0,1,2,3"</formula1>
    </dataValidation>
    <dataValidation sqref="F15" showDropDown="0" showInputMessage="0" showErrorMessage="0" allowBlank="1" errorTitle="Valor inválido" error="Elige 0, 1, 2 o 3" promptTitle="Selecciona tu puntaje" prompt="0=NUNCA  1=POCO  2=MODERADO  3=MUCHO" type="list">
      <formula1>"0,1,2,3"</formula1>
    </dataValidation>
    <dataValidation sqref="F16" showDropDown="0" showInputMessage="0" showErrorMessage="0" allowBlank="1" errorTitle="Valor inválido" error="Elige 0, 1, 2 o 3" promptTitle="Selecciona tu puntaje" prompt="0=NUNCA  1=POCO  2=MODERADO  3=MUCHO" type="list">
      <formula1>"0,1,2,3"</formula1>
    </dataValidation>
    <dataValidation sqref="F17" showDropDown="0" showInputMessage="0" showErrorMessage="0" allowBlank="1" errorTitle="Valor inválido" error="Elige 0, 1, 2 o 3" promptTitle="Selecciona tu puntaje" prompt="0=NUNCA  1=POCO  2=MODERADO  3=MUCHO" type="list">
      <formula1>"0,1,2,3"</formula1>
    </dataValidation>
    <dataValidation sqref="F19" showDropDown="0" showInputMessage="0" showErrorMessage="0" allowBlank="1" errorTitle="Valor inválido" error="Elige 0, 1, 2 o 3" promptTitle="Selecciona tu puntaje" prompt="0=NUNCA  1=POCO  2=MODERADO  3=MUCHO" type="list">
      <formula1>"0,1,2,3"</formula1>
    </dataValidation>
    <dataValidation sqref="F20" showDropDown="0" showInputMessage="0" showErrorMessage="0" allowBlank="1" errorTitle="Valor inválido" error="Elige 0, 1, 2 o 3" promptTitle="Selecciona tu puntaje" prompt="0=NUNCA  1=POCO  2=MODERADO  3=MUCHO" type="list">
      <formula1>"0,1,2,3"</formula1>
    </dataValidation>
    <dataValidation sqref="F21" showDropDown="0" showInputMessage="0" showErrorMessage="0" allowBlank="1" errorTitle="Valor inválido" error="Elige 0, 1, 2 o 3" promptTitle="Selecciona tu puntaje" prompt="0=NUNCA  1=POCO  2=MODERADO  3=MUCHO" type="list">
      <formula1>"0,1,2,3"</formula1>
    </dataValidation>
    <dataValidation sqref="F22" showDropDown="0" showInputMessage="0" showErrorMessage="0" allowBlank="1" errorTitle="Valor inválido" error="Elige 0, 1, 2 o 3" promptTitle="Selecciona tu puntaje" prompt="0=NUNCA  1=POCO  2=MODERADO  3=MUCHO" type="list">
      <formula1>"0,1,2,3"</formula1>
    </dataValidation>
    <dataValidation sqref="F23" showDropDown="0" showInputMessage="0" showErrorMessage="0" allowBlank="1" errorTitle="Valor inválido" error="Elige 0, 1, 2 o 3" promptTitle="Selecciona tu puntaje" prompt="0=NUNCA  1=POCO  2=MODERADO  3=MUCHO" type="list">
      <formula1>"0,1,2,3"</formula1>
    </dataValidation>
    <dataValidation sqref="F24" showDropDown="0" showInputMessage="0" showErrorMessage="0" allowBlank="1" errorTitle="Valor inválido" error="Elige 0, 1, 2 o 3" promptTitle="Selecciona tu puntaje" prompt="0=NUNCA  1=POCO  2=MODERADO  3=MUCHO" type="list">
      <formula1>"0,1,2,3"</formula1>
    </dataValidation>
    <dataValidation sqref="F25" showDropDown="0" showInputMessage="0" showErrorMessage="0" allowBlank="1" errorTitle="Valor inválido" error="Elige 0, 1, 2 o 3" promptTitle="Selecciona tu puntaje" prompt="0=NUNCA  1=POCO  2=MODERADO  3=MUCHO" type="list">
      <formula1>"0,1,2,3"</formula1>
    </dataValidation>
    <dataValidation sqref="F26" showDropDown="0" showInputMessage="0" showErrorMessage="0" allowBlank="1" errorTitle="Valor inválido" error="Elige 0, 1, 2 o 3" promptTitle="Selecciona tu puntaje" prompt="0=NUNCA  1=POCO  2=MODERADO  3=MUCHO" type="list">
      <formula1>"0,1,2,3"</formula1>
    </dataValidation>
    <dataValidation sqref="F27" showDropDown="0" showInputMessage="0" showErrorMessage="0" allowBlank="1" errorTitle="Valor inválido" error="Elige 0, 1, 2 o 3" promptTitle="Selecciona tu puntaje" prompt="0=NUNCA  1=POCO  2=MODERADO  3=MUCHO" type="list">
      <formula1>"0,1,2,3"</formula1>
    </dataValidation>
    <dataValidation sqref="F28" showDropDown="0" showInputMessage="0" showErrorMessage="0" allowBlank="1" errorTitle="Valor inválido" error="Elige 0, 1, 2 o 3" promptTitle="Selecciona tu puntaje" prompt="0=NUNCA  1=POCO  2=MODERADO  3=MUCHO" type="list">
      <formula1>"0,1,2,3"</formula1>
    </dataValidation>
    <dataValidation sqref="F30" showDropDown="0" showInputMessage="0" showErrorMessage="0" allowBlank="1" errorTitle="Valor inválido" error="Elige 0, 1, 2 o 3" promptTitle="Selecciona tu puntaje" prompt="0=NUNCA  1=POCO  2=MODERADO  3=MUCHO" type="list">
      <formula1>"0,1,2,3"</formula1>
    </dataValidation>
    <dataValidation sqref="F31" showDropDown="0" showInputMessage="0" showErrorMessage="0" allowBlank="1" errorTitle="Valor inválido" error="Elige 0, 1, 2 o 3" promptTitle="Selecciona tu puntaje" prompt="0=NUNCA  1=POCO  2=MODERADO  3=MUCHO" type="list">
      <formula1>"0,1,2,3"</formula1>
    </dataValidation>
    <dataValidation sqref="F32" showDropDown="0" showInputMessage="0" showErrorMessage="0" allowBlank="1" errorTitle="Valor inválido" error="Elige 0, 1, 2 o 3" promptTitle="Selecciona tu puntaje" prompt="0=NUNCA  1=POCO  2=MODERADO  3=MUCHO" type="list">
      <formula1>"0,1,2,3"</formula1>
    </dataValidation>
    <dataValidation sqref="F33" showDropDown="0" showInputMessage="0" showErrorMessage="0" allowBlank="1" errorTitle="Valor inválido" error="Elige 0, 1, 2 o 3" promptTitle="Selecciona tu puntaje" prompt="0=NUNCA  1=POCO  2=MODERADO  3=MUCHO" type="list">
      <formula1>"0,1,2,3"</formula1>
    </dataValidation>
    <dataValidation sqref="F34" showDropDown="0" showInputMessage="0" showErrorMessage="0" allowBlank="1" errorTitle="Valor inválido" error="Elige 0, 1, 2 o 3" promptTitle="Selecciona tu puntaje" prompt="0=NUNCA  1=POCO  2=MODERADO  3=MUCHO" type="list">
      <formula1>"0,1,2,3"</formula1>
    </dataValidation>
    <dataValidation sqref="F35" showDropDown="0" showInputMessage="0" showErrorMessage="0" allowBlank="1" errorTitle="Valor inválido" error="Elige 0, 1, 2 o 3" promptTitle="Selecciona tu puntaje" prompt="0=NUNCA  1=POCO  2=MODERADO  3=MUCHO" type="list">
      <formula1>"0,1,2,3"</formula1>
    </dataValidation>
    <dataValidation sqref="F36" showDropDown="0" showInputMessage="0" showErrorMessage="0" allowBlank="1" errorTitle="Valor inválido" error="Elige 0, 1, 2 o 3" promptTitle="Selecciona tu puntaje" prompt="0=NUNCA  1=POCO  2=MODERADO  3=MUCHO" type="list">
      <formula1>"0,1,2,3"</formula1>
    </dataValidation>
  </dataValidations>
  <pageMargins left="0.75" right="0.75" top="1" bottom="1" header="0.5" footer="0.5"/>
</worksheet>
</file>

<file path=xl/worksheets/sheet2.xml><?xml version="1.0" encoding="utf-8"?>
<worksheet xmlns="http://schemas.openxmlformats.org/spreadsheetml/2006/main">
  <sheetPr>
    <tabColor rgb="002AB89A"/>
    <outlinePr summaryBelow="1" summaryRight="1"/>
    <pageSetUpPr/>
  </sheetPr>
  <dimension ref="A1:G9"/>
  <sheetViews>
    <sheetView workbookViewId="0">
      <selection activeCell="A1" sqref="A1"/>
    </sheetView>
  </sheetViews>
  <sheetFormatPr baseColWidth="8" defaultRowHeight="15"/>
  <cols>
    <col width="8" customWidth="1" min="1" max="1"/>
    <col width="22" customWidth="1" min="2" max="2"/>
    <col width="28" customWidth="1" min="3" max="3"/>
    <col width="26" customWidth="1" min="4" max="4"/>
    <col width="22" customWidth="1" min="5" max="5"/>
    <col width="14" customWidth="1" min="6" max="6"/>
    <col width="14" customWidth="1" min="7" max="7"/>
  </cols>
  <sheetData>
    <row r="1" ht="32" customHeight="1">
      <c r="A1" s="37" t="inlineStr">
        <is>
          <t>CERO AMOR — PLAN DE SESIONES DEL CURSO</t>
        </is>
      </c>
    </row>
    <row r="2" ht="20" customHeight="1">
      <c r="A2" s="38" t="inlineStr">
        <is>
          <t>Facilitador/a: _____________________    Grupo: _____________________    Inicio: ____________    Cierre: ____________</t>
        </is>
      </c>
    </row>
    <row r="3" ht="24" customHeight="1">
      <c r="A3" s="6" t="inlineStr">
        <is>
          <t>Módulo</t>
        </is>
      </c>
      <c r="B3" s="11" t="inlineStr">
        <is>
          <t>Tema</t>
        </is>
      </c>
      <c r="C3" s="11" t="inlineStr">
        <is>
          <t>Contenido Principal</t>
        </is>
      </c>
      <c r="D3" s="10" t="inlineStr">
        <is>
          <t>Ejercicios / Actividades</t>
        </is>
      </c>
      <c r="E3" s="7" t="inlineStr">
        <is>
          <t>Materiales</t>
        </is>
      </c>
      <c r="F3" s="8" t="inlineStr">
        <is>
          <t>Duración</t>
        </is>
      </c>
      <c r="G3" s="9" t="inlineStr">
        <is>
          <t>Estatus</t>
        </is>
      </c>
    </row>
    <row r="4" ht="70" customHeight="1">
      <c r="A4" s="39" t="inlineStr">
        <is>
          <t>01</t>
        </is>
      </c>
      <c r="B4" s="40" t="inlineStr">
        <is>
          <t>¿Qué es la Autoviolencia?</t>
        </is>
      </c>
      <c r="C4" s="40" t="inlineStr">
        <is>
          <t>Definición, tipos (psicológica, física, sexual), escalada de la autoviolencia</t>
        </is>
      </c>
      <c r="D4" s="40" t="inlineStr">
        <is>
          <t>E1: Lluvia de ideas anónima
E2: Círculo de la autoviolencia</t>
        </is>
      </c>
      <c r="E4" s="40" t="inlineStr">
        <is>
          <t>PPT slides 5-8
Hoja de trabajo M1
Rotafolio</t>
        </is>
      </c>
      <c r="F4" s="40" t="inlineStr">
        <is>
          <t>5 horas</t>
        </is>
      </c>
      <c r="G4" s="40" t="inlineStr">
        <is>
          <t>⬜ Pendiente</t>
        </is>
      </c>
    </row>
    <row r="5" ht="70" customHeight="1">
      <c r="A5" s="41" t="inlineStr">
        <is>
          <t>02</t>
        </is>
      </c>
      <c r="B5" s="42" t="inlineStr">
        <is>
          <t>El Autoviolentómetro CERO AMOR</t>
        </is>
      </c>
      <c r="C5" s="42" t="inlineStr">
        <is>
          <t>Presentación del instrumento, aplicación individual, interpretación de zonas</t>
        </is>
      </c>
      <c r="D5" s="42" t="inlineStr">
        <is>
          <t>Aplicación del Autoviolentómetro
E3: Carta de compasión</t>
        </is>
      </c>
      <c r="E5" s="42" t="inlineStr">
        <is>
          <t>PPT slides 9-13
Copias Autoviolentómetro
Sobres</t>
        </is>
      </c>
      <c r="F5" s="42" t="inlineStr">
        <is>
          <t>5 horas</t>
        </is>
      </c>
      <c r="G5" s="42" t="inlineStr">
        <is>
          <t>⬜ Pendiente</t>
        </is>
      </c>
    </row>
    <row r="6" ht="70" customHeight="1">
      <c r="A6" s="43" t="inlineStr">
        <is>
          <t>03</t>
        </is>
      </c>
      <c r="B6" s="40" t="inlineStr">
        <is>
          <t>Autoviolencia Psicológica</t>
        </is>
      </c>
      <c r="C6" s="40" t="inlineStr">
        <is>
          <t>Autocrítica destructiva, autoengaño, autolimitación, diálogo interno</t>
        </is>
      </c>
      <c r="D6" s="40" t="inlineStr">
        <is>
          <t>E4: Árbol de la autocrítica
E5: Transformando el diálogo interno</t>
        </is>
      </c>
      <c r="E6" s="40" t="inlineStr">
        <is>
          <t>PPT slides 14-16
Hoja de trabajo M3
Colores</t>
        </is>
      </c>
      <c r="F6" s="40" t="inlineStr">
        <is>
          <t>5 horas</t>
        </is>
      </c>
      <c r="G6" s="40" t="inlineStr">
        <is>
          <t>⬜ Pendiente</t>
        </is>
      </c>
    </row>
    <row r="7" ht="70" customHeight="1">
      <c r="A7" s="44" t="inlineStr">
        <is>
          <t>04</t>
        </is>
      </c>
      <c r="B7" s="42" t="inlineStr">
        <is>
          <t>Autoviolencia Física y Sexual</t>
        </is>
      </c>
      <c r="C7" s="42" t="inlineStr">
        <is>
          <t>Autolesiones, cutting, reconciliación con el cuerpo, señales de alarma</t>
        </is>
      </c>
      <c r="D7" s="42" t="inlineStr">
        <is>
          <t>E6: Mapa del cuerpo
Protocolo de crisis disponible</t>
        </is>
      </c>
      <c r="E7" s="42" t="inlineStr">
        <is>
          <t>PPT slides 17-18
Silueta corporal
Colores</t>
        </is>
      </c>
      <c r="F7" s="42" t="inlineStr">
        <is>
          <t>5 horas</t>
        </is>
      </c>
      <c r="G7" s="42" t="inlineStr">
        <is>
          <t>⬜ Pendiente</t>
        </is>
      </c>
    </row>
    <row r="8" ht="70" customHeight="1">
      <c r="A8" s="45" t="inlineStr">
        <is>
          <t>05</t>
        </is>
      </c>
      <c r="B8" s="40" t="inlineStr">
        <is>
          <t>Del CERO AMOR al AMOR ÁGAPE</t>
        </is>
      </c>
      <c r="C8" s="40" t="inlineStr">
        <is>
          <t>Transformación, los 6 pasos, el Amorometro, amor propio como práctica</t>
        </is>
      </c>
      <c r="D8" s="40" t="inlineStr">
        <is>
          <t>E7: Escalera del amor propio
E8: Carta al futuro yo</t>
        </is>
      </c>
      <c r="E8" s="40" t="inlineStr">
        <is>
          <t>PPT slides 19-21
Hoja de trabajo M5
Sobres sellados</t>
        </is>
      </c>
      <c r="F8" s="40" t="inlineStr">
        <is>
          <t>5 horas</t>
        </is>
      </c>
      <c r="G8" s="40" t="inlineStr">
        <is>
          <t>⬜ Pendiente</t>
        </is>
      </c>
    </row>
    <row r="9" ht="70" customHeight="1">
      <c r="A9" s="46" t="inlineStr">
        <is>
          <t>06</t>
        </is>
      </c>
      <c r="B9" s="42" t="inlineStr">
        <is>
          <t>Herramientas de Autocuidado</t>
        </is>
      </c>
      <c r="C9" s="42" t="inlineStr">
        <is>
          <t>Las 6 herramientas, red de apoyo, recursos profesionales, plan personal, cierre</t>
        </is>
      </c>
      <c r="D9" s="42" t="inlineStr">
        <is>
          <t>Plan Personal de Amor Propio
Ceremonia de cierre</t>
        </is>
      </c>
      <c r="E9" s="42" t="inlineStr">
        <is>
          <t>PPT slides 22-27
Plan impreso
Vela para cierre</t>
        </is>
      </c>
      <c r="F9" s="42" t="inlineStr">
        <is>
          <t>5 horas</t>
        </is>
      </c>
      <c r="G9" s="42" t="inlineStr">
        <is>
          <t>⬜ Pendiente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D4A82A"/>
    <outlinePr summaryBelow="1" summaryRight="1"/>
    <pageSetUpPr/>
  </sheetPr>
  <dimension ref="A1:N27"/>
  <sheetViews>
    <sheetView workbookViewId="0">
      <selection activeCell="A1" sqref="A1"/>
    </sheetView>
  </sheetViews>
  <sheetFormatPr baseColWidth="8" defaultRowHeight="15"/>
  <cols>
    <col width="4"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4" customWidth="1" min="12" max="12"/>
    <col width="18" customWidth="1" min="13" max="13"/>
    <col width="18" customWidth="1" min="14" max="14"/>
  </cols>
  <sheetData>
    <row r="1" ht="28" customHeight="1">
      <c r="A1" s="47" t="inlineStr">
        <is>
          <t>CERO AMOR — SEGUIMIENTO DE PARTICIPANTES</t>
        </is>
      </c>
    </row>
    <row r="2" ht="32" customHeight="1">
      <c r="A2" s="48" t="inlineStr">
        <is>
          <t>#</t>
        </is>
      </c>
      <c r="B2" s="49" t="inlineStr">
        <is>
          <t>Nombre</t>
        </is>
      </c>
      <c r="C2" s="49" t="inlineStr">
        <is>
          <t>Edad</t>
        </is>
      </c>
      <c r="D2" s="50" t="inlineStr">
        <is>
          <t>Puntaje
Inicio</t>
        </is>
      </c>
      <c r="E2" s="51" t="inlineStr">
        <is>
          <t>M1
Asistió</t>
        </is>
      </c>
      <c r="F2" s="52" t="inlineStr">
        <is>
          <t>M2
Asistió</t>
        </is>
      </c>
      <c r="G2" s="53" t="inlineStr">
        <is>
          <t>M3
Asistió</t>
        </is>
      </c>
      <c r="H2" s="50" t="inlineStr">
        <is>
          <t>M4
Asistió</t>
        </is>
      </c>
      <c r="I2" s="49" t="inlineStr">
        <is>
          <t>M5
Asistió</t>
        </is>
      </c>
      <c r="J2" s="51" t="inlineStr">
        <is>
          <t>M6
Asistió</t>
        </is>
      </c>
      <c r="K2" s="52" t="inlineStr">
        <is>
          <t>Total
Sesiones</t>
        </is>
      </c>
      <c r="L2" s="50" t="inlineStr">
        <is>
          <t>Zona
Inicio</t>
        </is>
      </c>
      <c r="M2" s="51" t="inlineStr">
        <is>
          <t>Zona
30 días</t>
        </is>
      </c>
      <c r="N2" s="48" t="inlineStr">
        <is>
          <t>Notas</t>
        </is>
      </c>
    </row>
    <row r="3" ht="20" customHeight="1">
      <c r="A3" s="54" t="n">
        <v>1</v>
      </c>
      <c r="B3" s="55" t="n"/>
      <c r="C3" s="55" t="n"/>
      <c r="D3" s="55" t="n"/>
      <c r="E3" s="55" t="n"/>
      <c r="F3" s="55" t="n"/>
      <c r="G3" s="55" t="n"/>
      <c r="H3" s="55" t="n"/>
      <c r="I3" s="55" t="n"/>
      <c r="J3" s="55" t="n"/>
      <c r="K3" s="56">
        <f>COUNTIF(E3:J3,"✓")</f>
        <v/>
      </c>
      <c r="L3" s="55" t="n"/>
      <c r="M3" s="55" t="n"/>
      <c r="N3" s="55" t="n"/>
    </row>
    <row r="4" ht="20" customHeight="1">
      <c r="A4" s="54" t="n">
        <v>2</v>
      </c>
      <c r="B4" s="57" t="n"/>
      <c r="C4" s="57" t="n"/>
      <c r="D4" s="57" t="n"/>
      <c r="E4" s="57" t="n"/>
      <c r="F4" s="57" t="n"/>
      <c r="G4" s="57" t="n"/>
      <c r="H4" s="57" t="n"/>
      <c r="I4" s="57" t="n"/>
      <c r="J4" s="57" t="n"/>
      <c r="K4" s="58">
        <f>COUNTIF(E4:J4,"✓")</f>
        <v/>
      </c>
      <c r="L4" s="57" t="n"/>
      <c r="M4" s="57" t="n"/>
      <c r="N4" s="57" t="n"/>
    </row>
    <row r="5" ht="20" customHeight="1">
      <c r="A5" s="54" t="n">
        <v>3</v>
      </c>
      <c r="B5" s="55" t="n"/>
      <c r="C5" s="55" t="n"/>
      <c r="D5" s="55" t="n"/>
      <c r="E5" s="55" t="n"/>
      <c r="F5" s="55" t="n"/>
      <c r="G5" s="55" t="n"/>
      <c r="H5" s="55" t="n"/>
      <c r="I5" s="55" t="n"/>
      <c r="J5" s="55" t="n"/>
      <c r="K5" s="56">
        <f>COUNTIF(E5:J5,"✓")</f>
        <v/>
      </c>
      <c r="L5" s="55" t="n"/>
      <c r="M5" s="55" t="n"/>
      <c r="N5" s="55" t="n"/>
    </row>
    <row r="6" ht="20" customHeight="1">
      <c r="A6" s="54" t="n">
        <v>4</v>
      </c>
      <c r="B6" s="57" t="n"/>
      <c r="C6" s="57" t="n"/>
      <c r="D6" s="57" t="n"/>
      <c r="E6" s="57" t="n"/>
      <c r="F6" s="57" t="n"/>
      <c r="G6" s="57" t="n"/>
      <c r="H6" s="57" t="n"/>
      <c r="I6" s="57" t="n"/>
      <c r="J6" s="57" t="n"/>
      <c r="K6" s="58">
        <f>COUNTIF(E6:J6,"✓")</f>
        <v/>
      </c>
      <c r="L6" s="57" t="n"/>
      <c r="M6" s="57" t="n"/>
      <c r="N6" s="57" t="n"/>
    </row>
    <row r="7" ht="20" customHeight="1">
      <c r="A7" s="54" t="n">
        <v>5</v>
      </c>
      <c r="B7" s="55" t="n"/>
      <c r="C7" s="55" t="n"/>
      <c r="D7" s="55" t="n"/>
      <c r="E7" s="55" t="n"/>
      <c r="F7" s="55" t="n"/>
      <c r="G7" s="55" t="n"/>
      <c r="H7" s="55" t="n"/>
      <c r="I7" s="55" t="n"/>
      <c r="J7" s="55" t="n"/>
      <c r="K7" s="56">
        <f>COUNTIF(E7:J7,"✓")</f>
        <v/>
      </c>
      <c r="L7" s="55" t="n"/>
      <c r="M7" s="55" t="n"/>
      <c r="N7" s="55" t="n"/>
    </row>
    <row r="8" ht="20" customHeight="1">
      <c r="A8" s="54" t="n">
        <v>6</v>
      </c>
      <c r="B8" s="57" t="n"/>
      <c r="C8" s="57" t="n"/>
      <c r="D8" s="57" t="n"/>
      <c r="E8" s="57" t="n"/>
      <c r="F8" s="57" t="n"/>
      <c r="G8" s="57" t="n"/>
      <c r="H8" s="57" t="n"/>
      <c r="I8" s="57" t="n"/>
      <c r="J8" s="57" t="n"/>
      <c r="K8" s="58">
        <f>COUNTIF(E8:J8,"✓")</f>
        <v/>
      </c>
      <c r="L8" s="57" t="n"/>
      <c r="M8" s="57" t="n"/>
      <c r="N8" s="57" t="n"/>
    </row>
    <row r="9" ht="20" customHeight="1">
      <c r="A9" s="54" t="n">
        <v>7</v>
      </c>
      <c r="B9" s="55" t="n"/>
      <c r="C9" s="55" t="n"/>
      <c r="D9" s="55" t="n"/>
      <c r="E9" s="55" t="n"/>
      <c r="F9" s="55" t="n"/>
      <c r="G9" s="55" t="n"/>
      <c r="H9" s="55" t="n"/>
      <c r="I9" s="55" t="n"/>
      <c r="J9" s="55" t="n"/>
      <c r="K9" s="56">
        <f>COUNTIF(E9:J9,"✓")</f>
        <v/>
      </c>
      <c r="L9" s="55" t="n"/>
      <c r="M9" s="55" t="n"/>
      <c r="N9" s="55" t="n"/>
    </row>
    <row r="10" ht="20" customHeight="1">
      <c r="A10" s="54" t="n">
        <v>8</v>
      </c>
      <c r="B10" s="57" t="n"/>
      <c r="C10" s="57" t="n"/>
      <c r="D10" s="57" t="n"/>
      <c r="E10" s="57" t="n"/>
      <c r="F10" s="57" t="n"/>
      <c r="G10" s="57" t="n"/>
      <c r="H10" s="57" t="n"/>
      <c r="I10" s="57" t="n"/>
      <c r="J10" s="57" t="n"/>
      <c r="K10" s="58">
        <f>COUNTIF(E10:J10,"✓")</f>
        <v/>
      </c>
      <c r="L10" s="57" t="n"/>
      <c r="M10" s="57" t="n"/>
      <c r="N10" s="57" t="n"/>
    </row>
    <row r="11" ht="20" customHeight="1">
      <c r="A11" s="54" t="n">
        <v>9</v>
      </c>
      <c r="B11" s="55" t="n"/>
      <c r="C11" s="55" t="n"/>
      <c r="D11" s="55" t="n"/>
      <c r="E11" s="55" t="n"/>
      <c r="F11" s="55" t="n"/>
      <c r="G11" s="55" t="n"/>
      <c r="H11" s="55" t="n"/>
      <c r="I11" s="55" t="n"/>
      <c r="J11" s="55" t="n"/>
      <c r="K11" s="56">
        <f>COUNTIF(E11:J11,"✓")</f>
        <v/>
      </c>
      <c r="L11" s="55" t="n"/>
      <c r="M11" s="55" t="n"/>
      <c r="N11" s="55" t="n"/>
    </row>
    <row r="12" ht="20" customHeight="1">
      <c r="A12" s="54" t="n">
        <v>10</v>
      </c>
      <c r="B12" s="57" t="n"/>
      <c r="C12" s="57" t="n"/>
      <c r="D12" s="57" t="n"/>
      <c r="E12" s="57" t="n"/>
      <c r="F12" s="57" t="n"/>
      <c r="G12" s="57" t="n"/>
      <c r="H12" s="57" t="n"/>
      <c r="I12" s="57" t="n"/>
      <c r="J12" s="57" t="n"/>
      <c r="K12" s="58">
        <f>COUNTIF(E12:J12,"✓")</f>
        <v/>
      </c>
      <c r="L12" s="57" t="n"/>
      <c r="M12" s="57" t="n"/>
      <c r="N12" s="57" t="n"/>
    </row>
    <row r="13" ht="20" customHeight="1">
      <c r="A13" s="54" t="n">
        <v>11</v>
      </c>
      <c r="B13" s="55" t="n"/>
      <c r="C13" s="55" t="n"/>
      <c r="D13" s="55" t="n"/>
      <c r="E13" s="55" t="n"/>
      <c r="F13" s="55" t="n"/>
      <c r="G13" s="55" t="n"/>
      <c r="H13" s="55" t="n"/>
      <c r="I13" s="55" t="n"/>
      <c r="J13" s="55" t="n"/>
      <c r="K13" s="56">
        <f>COUNTIF(E13:J13,"✓")</f>
        <v/>
      </c>
      <c r="L13" s="55" t="n"/>
      <c r="M13" s="55" t="n"/>
      <c r="N13" s="55" t="n"/>
    </row>
    <row r="14" ht="20" customHeight="1">
      <c r="A14" s="54" t="n">
        <v>12</v>
      </c>
      <c r="B14" s="57" t="n"/>
      <c r="C14" s="57" t="n"/>
      <c r="D14" s="57" t="n"/>
      <c r="E14" s="57" t="n"/>
      <c r="F14" s="57" t="n"/>
      <c r="G14" s="57" t="n"/>
      <c r="H14" s="57" t="n"/>
      <c r="I14" s="57" t="n"/>
      <c r="J14" s="57" t="n"/>
      <c r="K14" s="58">
        <f>COUNTIF(E14:J14,"✓")</f>
        <v/>
      </c>
      <c r="L14" s="57" t="n"/>
      <c r="M14" s="57" t="n"/>
      <c r="N14" s="57" t="n"/>
    </row>
    <row r="15" ht="20" customHeight="1">
      <c r="A15" s="54" t="n">
        <v>13</v>
      </c>
      <c r="B15" s="55" t="n"/>
      <c r="C15" s="55" t="n"/>
      <c r="D15" s="55" t="n"/>
      <c r="E15" s="55" t="n"/>
      <c r="F15" s="55" t="n"/>
      <c r="G15" s="55" t="n"/>
      <c r="H15" s="55" t="n"/>
      <c r="I15" s="55" t="n"/>
      <c r="J15" s="55" t="n"/>
      <c r="K15" s="56">
        <f>COUNTIF(E15:J15,"✓")</f>
        <v/>
      </c>
      <c r="L15" s="55" t="n"/>
      <c r="M15" s="55" t="n"/>
      <c r="N15" s="55" t="n"/>
    </row>
    <row r="16" ht="20" customHeight="1">
      <c r="A16" s="54" t="n">
        <v>14</v>
      </c>
      <c r="B16" s="57" t="n"/>
      <c r="C16" s="57" t="n"/>
      <c r="D16" s="57" t="n"/>
      <c r="E16" s="57" t="n"/>
      <c r="F16" s="57" t="n"/>
      <c r="G16" s="57" t="n"/>
      <c r="H16" s="57" t="n"/>
      <c r="I16" s="57" t="n"/>
      <c r="J16" s="57" t="n"/>
      <c r="K16" s="58">
        <f>COUNTIF(E16:J16,"✓")</f>
        <v/>
      </c>
      <c r="L16" s="57" t="n"/>
      <c r="M16" s="57" t="n"/>
      <c r="N16" s="57" t="n"/>
    </row>
    <row r="17" ht="20" customHeight="1">
      <c r="A17" s="54" t="n">
        <v>15</v>
      </c>
      <c r="B17" s="55" t="n"/>
      <c r="C17" s="55" t="n"/>
      <c r="D17" s="55" t="n"/>
      <c r="E17" s="55" t="n"/>
      <c r="F17" s="55" t="n"/>
      <c r="G17" s="55" t="n"/>
      <c r="H17" s="55" t="n"/>
      <c r="I17" s="55" t="n"/>
      <c r="J17" s="55" t="n"/>
      <c r="K17" s="56">
        <f>COUNTIF(E17:J17,"✓")</f>
        <v/>
      </c>
      <c r="L17" s="55" t="n"/>
      <c r="M17" s="55" t="n"/>
      <c r="N17" s="55" t="n"/>
    </row>
    <row r="18" ht="20" customHeight="1">
      <c r="A18" s="54" t="n">
        <v>16</v>
      </c>
      <c r="B18" s="57" t="n"/>
      <c r="C18" s="57" t="n"/>
      <c r="D18" s="57" t="n"/>
      <c r="E18" s="57" t="n"/>
      <c r="F18" s="57" t="n"/>
      <c r="G18" s="57" t="n"/>
      <c r="H18" s="57" t="n"/>
      <c r="I18" s="57" t="n"/>
      <c r="J18" s="57" t="n"/>
      <c r="K18" s="58">
        <f>COUNTIF(E18:J18,"✓")</f>
        <v/>
      </c>
      <c r="L18" s="57" t="n"/>
      <c r="M18" s="57" t="n"/>
      <c r="N18" s="57" t="n"/>
    </row>
    <row r="19" ht="20" customHeight="1">
      <c r="A19" s="54" t="n">
        <v>17</v>
      </c>
      <c r="B19" s="55" t="n"/>
      <c r="C19" s="55" t="n"/>
      <c r="D19" s="55" t="n"/>
      <c r="E19" s="55" t="n"/>
      <c r="F19" s="55" t="n"/>
      <c r="G19" s="55" t="n"/>
      <c r="H19" s="55" t="n"/>
      <c r="I19" s="55" t="n"/>
      <c r="J19" s="55" t="n"/>
      <c r="K19" s="56">
        <f>COUNTIF(E19:J19,"✓")</f>
        <v/>
      </c>
      <c r="L19" s="55" t="n"/>
      <c r="M19" s="55" t="n"/>
      <c r="N19" s="55" t="n"/>
    </row>
    <row r="20" ht="20" customHeight="1">
      <c r="A20" s="54" t="n">
        <v>18</v>
      </c>
      <c r="B20" s="57" t="n"/>
      <c r="C20" s="57" t="n"/>
      <c r="D20" s="57" t="n"/>
      <c r="E20" s="57" t="n"/>
      <c r="F20" s="57" t="n"/>
      <c r="G20" s="57" t="n"/>
      <c r="H20" s="57" t="n"/>
      <c r="I20" s="57" t="n"/>
      <c r="J20" s="57" t="n"/>
      <c r="K20" s="58">
        <f>COUNTIF(E20:J20,"✓")</f>
        <v/>
      </c>
      <c r="L20" s="57" t="n"/>
      <c r="M20" s="57" t="n"/>
      <c r="N20" s="57" t="n"/>
    </row>
    <row r="21" ht="20" customHeight="1">
      <c r="A21" s="54" t="n">
        <v>19</v>
      </c>
      <c r="B21" s="55" t="n"/>
      <c r="C21" s="55" t="n"/>
      <c r="D21" s="55" t="n"/>
      <c r="E21" s="55" t="n"/>
      <c r="F21" s="55" t="n"/>
      <c r="G21" s="55" t="n"/>
      <c r="H21" s="55" t="n"/>
      <c r="I21" s="55" t="n"/>
      <c r="J21" s="55" t="n"/>
      <c r="K21" s="56">
        <f>COUNTIF(E21:J21,"✓")</f>
        <v/>
      </c>
      <c r="L21" s="55" t="n"/>
      <c r="M21" s="55" t="n"/>
      <c r="N21" s="55" t="n"/>
    </row>
    <row r="22" ht="20" customHeight="1">
      <c r="A22" s="54" t="n">
        <v>20</v>
      </c>
      <c r="B22" s="57" t="n"/>
      <c r="C22" s="57" t="n"/>
      <c r="D22" s="57" t="n"/>
      <c r="E22" s="57" t="n"/>
      <c r="F22" s="57" t="n"/>
      <c r="G22" s="57" t="n"/>
      <c r="H22" s="57" t="n"/>
      <c r="I22" s="57" t="n"/>
      <c r="J22" s="57" t="n"/>
      <c r="K22" s="58">
        <f>COUNTIF(E22:J22,"✓")</f>
        <v/>
      </c>
      <c r="L22" s="57" t="n"/>
      <c r="M22" s="57" t="n"/>
      <c r="N22" s="57" t="n"/>
    </row>
    <row r="23" ht="20" customHeight="1">
      <c r="A23" s="54" t="n">
        <v>21</v>
      </c>
      <c r="B23" s="55" t="n"/>
      <c r="C23" s="55" t="n"/>
      <c r="D23" s="55" t="n"/>
      <c r="E23" s="55" t="n"/>
      <c r="F23" s="55" t="n"/>
      <c r="G23" s="55" t="n"/>
      <c r="H23" s="55" t="n"/>
      <c r="I23" s="55" t="n"/>
      <c r="J23" s="55" t="n"/>
      <c r="K23" s="56">
        <f>COUNTIF(E23:J23,"✓")</f>
        <v/>
      </c>
      <c r="L23" s="55" t="n"/>
      <c r="M23" s="55" t="n"/>
      <c r="N23" s="55" t="n"/>
    </row>
    <row r="24" ht="20" customHeight="1">
      <c r="A24" s="54" t="n">
        <v>22</v>
      </c>
      <c r="B24" s="57" t="n"/>
      <c r="C24" s="57" t="n"/>
      <c r="D24" s="57" t="n"/>
      <c r="E24" s="57" t="n"/>
      <c r="F24" s="57" t="n"/>
      <c r="G24" s="57" t="n"/>
      <c r="H24" s="57" t="n"/>
      <c r="I24" s="57" t="n"/>
      <c r="J24" s="57" t="n"/>
      <c r="K24" s="58">
        <f>COUNTIF(E24:J24,"✓")</f>
        <v/>
      </c>
      <c r="L24" s="57" t="n"/>
      <c r="M24" s="57" t="n"/>
      <c r="N24" s="57" t="n"/>
    </row>
    <row r="25" ht="20" customHeight="1">
      <c r="A25" s="54" t="n">
        <v>23</v>
      </c>
      <c r="B25" s="55" t="n"/>
      <c r="C25" s="55" t="n"/>
      <c r="D25" s="55" t="n"/>
      <c r="E25" s="55" t="n"/>
      <c r="F25" s="55" t="n"/>
      <c r="G25" s="55" t="n"/>
      <c r="H25" s="55" t="n"/>
      <c r="I25" s="55" t="n"/>
      <c r="J25" s="55" t="n"/>
      <c r="K25" s="56">
        <f>COUNTIF(E25:J25,"✓")</f>
        <v/>
      </c>
      <c r="L25" s="55" t="n"/>
      <c r="M25" s="55" t="n"/>
      <c r="N25" s="55" t="n"/>
    </row>
    <row r="26" ht="20" customHeight="1">
      <c r="A26" s="54" t="n">
        <v>24</v>
      </c>
      <c r="B26" s="57" t="n"/>
      <c r="C26" s="57" t="n"/>
      <c r="D26" s="57" t="n"/>
      <c r="E26" s="57" t="n"/>
      <c r="F26" s="57" t="n"/>
      <c r="G26" s="57" t="n"/>
      <c r="H26" s="57" t="n"/>
      <c r="I26" s="57" t="n"/>
      <c r="J26" s="57" t="n"/>
      <c r="K26" s="58">
        <f>COUNTIF(E26:J26,"✓")</f>
        <v/>
      </c>
      <c r="L26" s="57" t="n"/>
      <c r="M26" s="57" t="n"/>
      <c r="N26" s="57" t="n"/>
    </row>
    <row r="27" ht="20" customHeight="1">
      <c r="A27" s="54" t="n">
        <v>25</v>
      </c>
      <c r="B27" s="55" t="n"/>
      <c r="C27" s="55" t="n"/>
      <c r="D27" s="55" t="n"/>
      <c r="E27" s="55" t="n"/>
      <c r="F27" s="55" t="n"/>
      <c r="G27" s="55" t="n"/>
      <c r="H27" s="55" t="n"/>
      <c r="I27" s="55" t="n"/>
      <c r="J27" s="55" t="n"/>
      <c r="K27" s="56">
        <f>COUNTIF(E27:J27,"✓")</f>
        <v/>
      </c>
      <c r="L27" s="55" t="n"/>
      <c r="M27" s="55" t="n"/>
      <c r="N27" s="55" t="n"/>
    </row>
  </sheetData>
  <mergeCells count="1">
    <mergeCell ref="A1:N1"/>
  </mergeCells>
  <dataValidations count="1">
    <dataValidation sqref="E3 E4 E5 E6 E7 E8 E9 E10 E11 E12 E13 E14 E15 E16 E17 E18 E19 E20 E21 E22 E23 E24 E25 E26 E27 F3 F4 F5 F6 F7 F8 F9 F10 F11 F12 F13 F14 F15 F16 F17 F18 F19 F20 F21 F22 F23 F24 F25 F26 F27 G3 G4 G5 G6 G7 G8 G9 G10 G11 G12 G13 G14 G15 G16 G17 G18 G19 G20 G21 G22 G23 G24 G25 G26 G27 H3 H4 H5 H6 H7 H8 H9 H10 H11 H12 H13 H14 H15 H16 H17 H18 H19 H20 H21 H22 H23 H24 H25 H26 H27 I3 I4 I5 I6 I7 I8 I9 I10 I11 I12 I13 I14 I15 I16 I17 I18 I19 I20 I21 I22 I23 I24 I25 I26 I27 J3 J4 J5 J6 J7 J8 J9 J10 J11 J12 J13 J14 J15 J16 J17 J18 J19 J20 J21 J22 J23 J24 J25 J26 J27"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tabColor rgb="00A0364B"/>
    <outlinePr summaryBelow="1" summaryRight="1"/>
    <pageSetUpPr/>
  </sheetPr>
  <dimension ref="A1:D18"/>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s>
  <sheetData>
    <row r="1" ht="28" customHeight="1">
      <c r="A1" s="47" t="inlineStr">
        <is>
          <t>CERO AMOR — RESUMEN DE RESULTADOS DEL GRUPO</t>
        </is>
      </c>
    </row>
    <row r="3">
      <c r="A3" s="59" t="inlineStr">
        <is>
          <t>INDICADOR</t>
        </is>
      </c>
      <c r="B3" s="59" t="inlineStr">
        <is>
          <t>INICIO DEL CURSO</t>
        </is>
      </c>
      <c r="C3" s="59" t="inlineStr">
        <is>
          <t>A 30 DÍAS</t>
        </is>
      </c>
      <c r="D3" s="59" t="inlineStr">
        <is>
          <t>CAMBIO</t>
        </is>
      </c>
    </row>
    <row r="4" ht="20" customHeight="1">
      <c r="A4" s="60" t="inlineStr">
        <is>
          <t>Puntaje promedio del grupo</t>
        </is>
      </c>
      <c r="B4" s="57" t="inlineStr"/>
      <c r="C4" s="57" t="inlineStr"/>
      <c r="D4" s="57" t="inlineStr"/>
    </row>
    <row r="5" ht="20" customHeight="1">
      <c r="A5" s="61" t="inlineStr">
        <is>
          <t>% en Zona Verde (0-10)</t>
        </is>
      </c>
      <c r="B5" s="55" t="inlineStr"/>
      <c r="C5" s="55" t="inlineStr"/>
      <c r="D5" s="55" t="inlineStr"/>
    </row>
    <row r="6" ht="20" customHeight="1">
      <c r="A6" s="60" t="inlineStr">
        <is>
          <t>% en Zona Amarilla (11-25)</t>
        </is>
      </c>
      <c r="B6" s="57" t="inlineStr"/>
      <c r="C6" s="57" t="inlineStr"/>
      <c r="D6" s="57" t="inlineStr"/>
    </row>
    <row r="7" ht="20" customHeight="1">
      <c r="A7" s="61" t="inlineStr">
        <is>
          <t>% en Zona Roja (26-40)</t>
        </is>
      </c>
      <c r="B7" s="55" t="inlineStr"/>
      <c r="C7" s="55" t="inlineStr"/>
      <c r="D7" s="55" t="inlineStr"/>
    </row>
    <row r="8" ht="20" customHeight="1">
      <c r="A8" s="60" t="inlineStr">
        <is>
          <t>% en Zona Crítica (41+)</t>
        </is>
      </c>
      <c r="B8" s="57" t="inlineStr"/>
      <c r="C8" s="57" t="inlineStr"/>
      <c r="D8" s="57" t="inlineStr"/>
    </row>
    <row r="9" ht="20" customHeight="1">
      <c r="A9" s="61" t="inlineStr">
        <is>
          <t>Asistencia promedio (sesiones)</t>
        </is>
      </c>
      <c r="B9" s="55" t="inlineStr"/>
      <c r="C9" s="55" t="inlineStr"/>
      <c r="D9" s="55" t="inlineStr"/>
    </row>
    <row r="10" ht="20" customHeight="1">
      <c r="A10" s="60" t="inlineStr">
        <is>
          <t>Participantes que completaron Plan Personal</t>
        </is>
      </c>
      <c r="B10" s="57" t="inlineStr"/>
      <c r="C10" s="57" t="inlineStr"/>
      <c r="D10" s="57" t="inlineStr"/>
    </row>
    <row r="13">
      <c r="A13" s="62" t="inlineStr">
        <is>
          <t>Distribución por Zona</t>
        </is>
      </c>
    </row>
    <row r="14">
      <c r="A14" s="63" t="inlineStr">
        <is>
          <t>Zona</t>
        </is>
      </c>
      <c r="B14" s="63" t="inlineStr">
        <is>
          <t>Inicio</t>
        </is>
      </c>
      <c r="C14" s="63" t="inlineStr">
        <is>
          <t>30 días</t>
        </is>
      </c>
    </row>
    <row r="15">
      <c r="A15" s="64" t="inlineStr">
        <is>
          <t>Zona Verde</t>
        </is>
      </c>
      <c r="B15" s="64" t="n">
        <v>0</v>
      </c>
      <c r="C15" s="64" t="n">
        <v>0</v>
      </c>
    </row>
    <row r="16">
      <c r="A16" s="65" t="inlineStr">
        <is>
          <t>Zona Amarilla</t>
        </is>
      </c>
      <c r="B16" s="65" t="n">
        <v>0</v>
      </c>
      <c r="C16" s="65" t="n">
        <v>0</v>
      </c>
    </row>
    <row r="17">
      <c r="A17" s="66" t="inlineStr">
        <is>
          <t>Zona Roja</t>
        </is>
      </c>
      <c r="B17" s="66" t="n">
        <v>0</v>
      </c>
      <c r="C17" s="66" t="n">
        <v>0</v>
      </c>
    </row>
    <row r="18">
      <c r="A18" s="67" t="inlineStr">
        <is>
          <t>Zona Crítica</t>
        </is>
      </c>
      <c r="B18" s="67" t="n">
        <v>0</v>
      </c>
      <c r="C18" s="67" t="n">
        <v>0</v>
      </c>
    </row>
  </sheetData>
  <mergeCells count="1">
    <mergeCell ref="A1:D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2D1B4E"/>
    <outlinePr summaryBelow="1" summaryRight="1"/>
    <pageSetUpPr/>
  </sheetPr>
  <dimension ref="A1:C23"/>
  <sheetViews>
    <sheetView workbookViewId="0">
      <selection activeCell="A1" sqref="A1"/>
    </sheetView>
  </sheetViews>
  <sheetFormatPr baseColWidth="8" defaultRowHeight="15"/>
  <cols>
    <col width="30" customWidth="1" min="1" max="1"/>
    <col width="22" customWidth="1" min="2" max="2"/>
    <col width="30" customWidth="1" min="3" max="3"/>
  </cols>
  <sheetData>
    <row r="1" ht="28" customHeight="1">
      <c r="A1" s="47" t="inlineStr">
        <is>
          <t>CERO AMOR — DIRECTORIO DE RECURSOS PROFESIONALES</t>
        </is>
      </c>
    </row>
    <row r="2">
      <c r="A2" s="59" t="inlineStr">
        <is>
          <t>Organización / Servicio</t>
        </is>
      </c>
      <c r="B2" s="59" t="inlineStr">
        <is>
          <t>Teléfono / Contacto</t>
        </is>
      </c>
      <c r="C2" s="59" t="inlineStr">
        <is>
          <t>Notas</t>
        </is>
      </c>
    </row>
    <row r="3" ht="20" customHeight="1">
      <c r="A3" s="68" t="inlineStr">
        <is>
          <t>🚨  LÍNEAS DE CRISIS (MÉXICO) — Disponibles 24 horas</t>
        </is>
      </c>
    </row>
    <row r="4" ht="22" customHeight="1">
      <c r="A4" s="69" t="inlineStr">
        <is>
          <t>SAPTEL</t>
        </is>
      </c>
      <c r="B4" s="69" t="inlineStr">
        <is>
          <t>55 5259-8121</t>
        </is>
      </c>
      <c r="C4" s="69" t="inlineStr">
        <is>
          <t>24 horas / 365 días</t>
        </is>
      </c>
    </row>
    <row r="5" ht="22" customHeight="1">
      <c r="A5" s="70" t="inlineStr">
        <is>
          <t>Línea de la Vida (CONADIC)</t>
        </is>
      </c>
      <c r="B5" s="70" t="inlineStr">
        <is>
          <t>800 911-2000</t>
        </is>
      </c>
      <c r="C5" s="70" t="inlineStr">
        <is>
          <t>Gratuita / 24 hrs</t>
        </is>
      </c>
    </row>
    <row r="6" ht="22" customHeight="1">
      <c r="A6" s="69" t="inlineStr">
        <is>
          <t>CONSAME</t>
        </is>
      </c>
      <c r="B6" s="69" t="inlineStr">
        <is>
          <t>800 290-0024</t>
        </is>
      </c>
      <c r="C6" s="69" t="inlineStr">
        <is>
          <t>Secretaría de Salud</t>
        </is>
      </c>
    </row>
    <row r="7" ht="22" customHeight="1">
      <c r="A7" s="70" t="inlineStr">
        <is>
          <t>CISS — Línea de Crisis</t>
        </is>
      </c>
      <c r="B7" s="70" t="inlineStr">
        <is>
          <t>800 002-3466</t>
        </is>
      </c>
      <c r="C7" s="70" t="inlineStr">
        <is>
          <t>Atención en crisis</t>
        </is>
      </c>
    </row>
    <row r="8" ht="22" customHeight="1">
      <c r="A8" s="69" t="inlineStr">
        <is>
          <t>Cruz Roja / Emergencias</t>
        </is>
      </c>
      <c r="B8" s="69" t="inlineStr">
        <is>
          <t>065 / 911</t>
        </is>
      </c>
      <c r="C8" s="69" t="inlineStr">
        <is>
          <t>Emergencias inmediatas</t>
        </is>
      </c>
    </row>
    <row r="9" ht="20" customHeight="1">
      <c r="A9" s="71" t="inlineStr">
        <is>
          <t>🏥  CENTROS DE ATENCIÓN ESPECIALIZADA</t>
        </is>
      </c>
    </row>
    <row r="10" ht="22" customHeight="1">
      <c r="A10" s="69" t="inlineStr">
        <is>
          <t>IMSS — Clínica de Salud Mental</t>
        </is>
      </c>
      <c r="B10" s="69" t="inlineStr">
        <is>
          <t>Portal IMSS</t>
        </is>
      </c>
      <c r="C10" s="69" t="inlineStr">
        <is>
          <t>Asegurados IMSS</t>
        </is>
      </c>
    </row>
    <row r="11" ht="22" customHeight="1">
      <c r="A11" s="70" t="inlineStr">
        <is>
          <t>CIJ — Centros de Integración Juvenil</t>
        </is>
      </c>
      <c r="B11" s="70" t="inlineStr">
        <is>
          <t>www.cij.gob.mx</t>
        </is>
      </c>
      <c r="C11" s="70" t="inlineStr">
        <is>
          <t>Atención a adicciones y salud mental</t>
        </is>
      </c>
    </row>
    <row r="12" ht="22" customHeight="1">
      <c r="A12" s="69" t="inlineStr">
        <is>
          <t>CEMESAM (CDMX)</t>
        </is>
      </c>
      <c r="B12" s="69" t="inlineStr">
        <is>
          <t>55 5550-6692</t>
        </is>
      </c>
      <c r="C12" s="69" t="inlineStr">
        <is>
          <t>Centro de Salud Mental</t>
        </is>
      </c>
    </row>
    <row r="13" ht="22" customHeight="1">
      <c r="A13" s="70" t="inlineStr">
        <is>
          <t>Hospital Psiquiátrico Fray Bernardino</t>
        </is>
      </c>
      <c r="B13" s="70" t="inlineStr">
        <is>
          <t>55 5664-1245</t>
        </is>
      </c>
      <c r="C13" s="70" t="inlineStr">
        <is>
          <t>CDMX</t>
        </is>
      </c>
    </row>
    <row r="14" ht="20" customHeight="1">
      <c r="A14" s="72" t="inlineStr">
        <is>
          <t>📱  APPS Y RECURSOS DIGITALES</t>
        </is>
      </c>
    </row>
    <row r="15" ht="22" customHeight="1">
      <c r="A15" s="69" t="inlineStr">
        <is>
          <t>Headspace</t>
        </is>
      </c>
      <c r="B15" s="69" t="inlineStr">
        <is>
          <t>headspace.com / App Store</t>
        </is>
      </c>
      <c r="C15" s="69" t="inlineStr">
        <is>
          <t>Meditación y mindfulness</t>
        </is>
      </c>
    </row>
    <row r="16" ht="22" customHeight="1">
      <c r="A16" s="70" t="inlineStr">
        <is>
          <t>Daylio</t>
        </is>
      </c>
      <c r="B16" s="70" t="inlineStr">
        <is>
          <t>App Store / Play Store</t>
        </is>
      </c>
      <c r="C16" s="70" t="inlineStr">
        <is>
          <t>Diario emocional</t>
        </is>
      </c>
    </row>
    <row r="17" ht="22" customHeight="1">
      <c r="A17" s="69" t="inlineStr">
        <is>
          <t>Sanvello</t>
        </is>
      </c>
      <c r="B17" s="69" t="inlineStr">
        <is>
          <t>App Store / Play Store</t>
        </is>
      </c>
      <c r="C17" s="69" t="inlineStr">
        <is>
          <t>Ansiedad y autoestima</t>
        </is>
      </c>
    </row>
    <row r="18" ht="22" customHeight="1">
      <c r="A18" s="70" t="inlineStr">
        <is>
          <t>MoodKit</t>
        </is>
      </c>
      <c r="B18" s="70" t="inlineStr">
        <is>
          <t>App Store</t>
        </is>
      </c>
      <c r="C18" s="70" t="inlineStr">
        <is>
          <t>Técnicas cognitivo-conductuales</t>
        </is>
      </c>
    </row>
    <row r="19" ht="20" customHeight="1">
      <c r="A19" s="73" t="inlineStr">
        <is>
          <t>📚  LECTURAS RECOMENDADAS</t>
        </is>
      </c>
    </row>
    <row r="20" ht="22" customHeight="1">
      <c r="A20" s="69" t="inlineStr">
        <is>
          <t>El cuerpo lleva la cuenta</t>
        </is>
      </c>
      <c r="B20" s="69" t="inlineStr">
        <is>
          <t>Bessel van der Kolk</t>
        </is>
      </c>
      <c r="C20" s="69" t="inlineStr">
        <is>
          <t>Trauma y recuperación</t>
        </is>
      </c>
    </row>
    <row r="21" ht="22" customHeight="1">
      <c r="A21" s="70" t="inlineStr">
        <is>
          <t>Los dones de la imperfección</t>
        </is>
      </c>
      <c r="B21" s="70" t="inlineStr">
        <is>
          <t>Brené Brown</t>
        </is>
      </c>
      <c r="C21" s="70" t="inlineStr">
        <is>
          <t>Autocompasión</t>
        </is>
      </c>
    </row>
    <row r="22" ht="22" customHeight="1">
      <c r="A22" s="69" t="inlineStr">
        <is>
          <t>Self-Compassion</t>
        </is>
      </c>
      <c r="B22" s="69" t="inlineStr">
        <is>
          <t>Kristin Neff</t>
        </is>
      </c>
      <c r="C22" s="69" t="inlineStr">
        <is>
          <t>Autocompasión científica</t>
        </is>
      </c>
    </row>
    <row r="23" ht="22" customHeight="1">
      <c r="A23" s="70" t="inlineStr">
        <is>
          <t>Amarse con los ojos abiertos</t>
        </is>
      </c>
      <c r="B23" s="70" t="inlineStr">
        <is>
          <t>Jorge Bucay</t>
        </is>
      </c>
      <c r="C23" s="70" t="inlineStr">
        <is>
          <t>Amor propio</t>
        </is>
      </c>
    </row>
  </sheetData>
  <mergeCells count="5">
    <mergeCell ref="A19:C19"/>
    <mergeCell ref="A1:C1"/>
    <mergeCell ref="A14:C14"/>
    <mergeCell ref="A9:C9"/>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2026-05-12T16:48:32Z</dcterms:created>
  <dcterms:modified xmlns:dcterms="http://purl.org/dc/terms/" xmlns:xsi="http://www.w3.org/2001/XMLSchema-instance" xsi:type="dcterms:W3CDTF">2026-05-12T16:48:33Z</dcterms:modified>
</cp:coreProperties>
</file>